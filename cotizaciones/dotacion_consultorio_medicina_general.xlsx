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Unificada" sheetId="1" state="visible" r:id="rId1"/>
    <sheet name="Resumen" sheetId="2" state="visible" r:id="rId2"/>
  </sheets>
  <definedNames>
    <definedName name="_xlnm._FilterDatabase" localSheetId="0" hidden="1">'Lista Unificada'!$A$4:$K$104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</font>
    <font>
      <name val="Arial"/>
      <color rgb="00000000"/>
    </font>
    <font>
      <name val="Arial"/>
      <color rgb="00008000"/>
    </font>
    <font>
      <name val="Arial"/>
      <b val="1"/>
      <color rgb="00000000"/>
    </font>
    <font>
      <name val="Arial"/>
    </font>
    <font>
      <name val="Arial"/>
      <color rgb="000000FF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6" fillId="3" borderId="0" pivotButton="0" quotePrefix="0" xfId="0"/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0" fontId="6" fillId="3" borderId="1" pivotButton="0" quotePrefix="0" xfId="0"/>
    <xf numFmtId="164" fontId="6" fillId="3" borderId="1" pivotButton="0" quotePrefix="0" xfId="0"/>
    <xf numFmtId="0" fontId="3" fillId="2" borderId="1" pivotButton="0" quotePrefix="0" xfId="0"/>
    <xf numFmtId="0" fontId="7" fillId="0" borderId="1" pivotButton="0" quotePrefix="0" xfId="0"/>
    <xf numFmtId="164" fontId="8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0" borderId="1" pivotButton="0" quotePrefix="0" xfId="0"/>
    <xf numFmtId="0" fontId="11" fillId="4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G5" authorId="0" shapeId="0">
      <text>
        <t>Precios aproximados de referencia (COP, 2026) a partir de rangos típicos de distribuidores de dispositivos médicos en Colombia, IVA incluido cuando aplica. Pueden variar ±20-30% según marca, proveedor y volumen. Validar con 2-3 cotizaciones formales.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18" authorId="0" shapeId="0">
      <text>
        <t>Dato a confirmar: la lista del Dr. Durán indica que el consultorio 1104 necesita la misma dotación que el 1105-01. Ponga 2 si se cotizan ambos.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0" customWidth="1" min="4" max="4"/>
    <col width="10" customWidth="1" min="5" max="5"/>
    <col width="10" customWidth="1" min="6" max="6"/>
    <col width="18" customWidth="1" min="7" max="7"/>
    <col width="18" customWidth="1" min="8" max="8"/>
    <col width="13" customWidth="1" min="9" max="9"/>
    <col width="17" customWidth="1" min="10" max="10"/>
    <col width="36" customWidth="1" min="11" max="11"/>
  </cols>
  <sheetData>
    <row r="1">
      <c r="A1" s="1" t="inlineStr">
        <is>
          <t>Dotación consultorio de medicina general — lista unificada para cotización</t>
        </is>
      </c>
    </row>
    <row r="2">
      <c r="A2" s="2" t="inlineStr">
        <is>
          <t>Valores aproximados en pesos colombianos (COP), mercado colombiano 2026. Incluye la lista del Dr. Sergio Durán (PDF “Dotación necesaria para los consultorios”). Celdas amarillas = ítems adicionales.</t>
        </is>
      </c>
    </row>
    <row r="4" ht="32" customHeight="1">
      <c r="A4" s="3" t="inlineStr">
        <is>
          <t>#</t>
        </is>
      </c>
      <c r="B4" s="3" t="inlineStr">
        <is>
          <t>Categoría</t>
        </is>
      </c>
      <c r="C4" s="3" t="inlineStr">
        <is>
          <t>Implemento</t>
        </is>
      </c>
      <c r="D4" s="3" t="inlineStr">
        <is>
          <t>Especificación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Valor unitario aprox. (COP)</t>
        </is>
      </c>
      <c r="H4" s="3" t="inlineStr">
        <is>
          <t>Valor total aprox. (COP)</t>
        </is>
      </c>
      <c r="I4" s="3" t="inlineStr">
        <is>
          <t>Prioridad</t>
        </is>
      </c>
      <c r="J4" s="3" t="inlineStr">
        <is>
          <t>Fuente</t>
        </is>
      </c>
      <c r="K4" s="3" t="inlineStr">
        <is>
          <t>Observaciones</t>
        </is>
      </c>
    </row>
    <row r="5">
      <c r="A5" s="4" t="n">
        <v>1</v>
      </c>
      <c r="B5" s="4" t="inlineStr">
        <is>
          <t>Equipos biomédicos</t>
        </is>
      </c>
      <c r="C5" s="5" t="inlineStr">
        <is>
          <t>Tensiómetro aneroide adulto</t>
        </is>
      </c>
      <c r="D5" s="5" t="inlineStr">
        <is>
          <t>Con brazalete adulto estándar, calibrado</t>
        </is>
      </c>
      <c r="E5" s="6" t="n">
        <v>1</v>
      </c>
      <c r="F5" s="4" t="inlineStr">
        <is>
          <t>Unidad</t>
        </is>
      </c>
      <c r="G5" s="7" t="n">
        <v>150000</v>
      </c>
      <c r="H5" s="8">
        <f>IF(OR(E5="",G5=""),"",E5*G5)</f>
        <v/>
      </c>
      <c r="I5" s="4" t="inlineStr">
        <is>
          <t>Obligatorio</t>
        </is>
      </c>
      <c r="J5" s="4" t="inlineStr">
        <is>
          <t>Dotación básica</t>
        </is>
      </c>
      <c r="K5" s="5" t="inlineStr">
        <is>
          <t>Requiere hoja de vida y plan de calibración anual</t>
        </is>
      </c>
    </row>
    <row r="6">
      <c r="A6" s="4" t="n">
        <v>2</v>
      </c>
      <c r="B6" s="4" t="inlineStr">
        <is>
          <t>Equipos biomédicos</t>
        </is>
      </c>
      <c r="C6" s="5" t="inlineStr">
        <is>
          <t>Brazaletes adicionales</t>
        </is>
      </c>
      <c r="D6" s="5" t="inlineStr">
        <is>
          <t>Pediátrico y adulto obeso</t>
        </is>
      </c>
      <c r="E6" s="6" t="n">
        <v>2</v>
      </c>
      <c r="F6" s="4" t="inlineStr">
        <is>
          <t>Unidad</t>
        </is>
      </c>
      <c r="G6" s="7" t="n">
        <v>60000</v>
      </c>
      <c r="H6" s="8">
        <f>IF(OR(E6="",G6=""),"",E6*G6)</f>
        <v/>
      </c>
      <c r="I6" s="4" t="inlineStr">
        <is>
          <t>Obligatorio</t>
        </is>
      </c>
      <c r="J6" s="4" t="inlineStr">
        <is>
          <t>Dotación básica</t>
        </is>
      </c>
      <c r="K6" s="5" t="inlineStr"/>
    </row>
    <row r="7">
      <c r="A7" s="4" t="n">
        <v>3</v>
      </c>
      <c r="B7" s="4" t="inlineStr">
        <is>
          <t>Equipos biomédicos</t>
        </is>
      </c>
      <c r="C7" s="5" t="inlineStr">
        <is>
          <t>Tensiómetro digital de brazo</t>
        </is>
      </c>
      <c r="D7" s="5" t="inlineStr">
        <is>
          <t>Automático, validado clínicamente</t>
        </is>
      </c>
      <c r="E7" s="6" t="n">
        <v>1</v>
      </c>
      <c r="F7" s="4" t="inlineStr">
        <is>
          <t>Unidad</t>
        </is>
      </c>
      <c r="G7" s="7" t="n">
        <v>250000</v>
      </c>
      <c r="H7" s="8">
        <f>IF(OR(E7="",G7=""),"",E7*G7)</f>
        <v/>
      </c>
      <c r="I7" s="4" t="inlineStr">
        <is>
          <t>Recomendado</t>
        </is>
      </c>
      <c r="J7" s="4" t="inlineStr">
        <is>
          <t>Dotación básica</t>
        </is>
      </c>
      <c r="K7" s="5" t="inlineStr"/>
    </row>
    <row r="8">
      <c r="A8" s="4" t="n">
        <v>4</v>
      </c>
      <c r="B8" s="4" t="inlineStr">
        <is>
          <t>Equipos biomédicos</t>
        </is>
      </c>
      <c r="C8" s="5" t="inlineStr">
        <is>
          <t>Fonendoscopio</t>
        </is>
      </c>
      <c r="D8" s="5" t="inlineStr">
        <is>
          <t>Doble campana, tipo Littmann Classic III o similar</t>
        </is>
      </c>
      <c r="E8" s="6" t="n">
        <v>1</v>
      </c>
      <c r="F8" s="4" t="inlineStr">
        <is>
          <t>Unidad</t>
        </is>
      </c>
      <c r="G8" s="7" t="n">
        <v>650000</v>
      </c>
      <c r="H8" s="8">
        <f>IF(OR(E8="",G8=""),"",E8*G8)</f>
        <v/>
      </c>
      <c r="I8" s="4" t="inlineStr">
        <is>
          <t>Obligatorio</t>
        </is>
      </c>
      <c r="J8" s="4" t="inlineStr">
        <is>
          <t>Dotación básica</t>
        </is>
      </c>
      <c r="K8" s="5" t="inlineStr">
        <is>
          <t>Marcas genéricas desde ~150.000</t>
        </is>
      </c>
    </row>
    <row r="9">
      <c r="A9" s="4" t="n">
        <v>5</v>
      </c>
      <c r="B9" s="4" t="inlineStr">
        <is>
          <t>Equipos biomédicos</t>
        </is>
      </c>
      <c r="C9" s="5" t="inlineStr">
        <is>
          <t>Equipo de órganos de los sentidos</t>
        </is>
      </c>
      <c r="D9" s="5" t="inlineStr">
        <is>
          <t>Otoscopio + oftalmoscopio portátil, halógeno/LED</t>
        </is>
      </c>
      <c r="E9" s="6" t="n">
        <v>1</v>
      </c>
      <c r="F9" s="4" t="inlineStr">
        <is>
          <t>Kit</t>
        </is>
      </c>
      <c r="G9" s="7" t="n">
        <v>1500000</v>
      </c>
      <c r="H9" s="8">
        <f>IF(OR(E9="",G9=""),"",E9*G9)</f>
        <v/>
      </c>
      <c r="I9" s="4" t="inlineStr">
        <is>
          <t>Obligatorio</t>
        </is>
      </c>
      <c r="J9" s="4" t="inlineStr">
        <is>
          <t>Dotación básica</t>
        </is>
      </c>
      <c r="K9" s="5" t="inlineStr">
        <is>
          <t>Welch Allyn/Riester; versión de pared ~3.500.000</t>
        </is>
      </c>
    </row>
    <row r="10">
      <c r="A10" s="4" t="n">
        <v>6</v>
      </c>
      <c r="B10" s="4" t="inlineStr">
        <is>
          <t>Equipos biomédicos</t>
        </is>
      </c>
      <c r="C10" s="5" t="inlineStr">
        <is>
          <t>Termómetro digital de contacto</t>
        </is>
      </c>
      <c r="D10" s="5" t="inlineStr">
        <is>
          <t>Punta flexible</t>
        </is>
      </c>
      <c r="E10" s="6" t="n">
        <v>2</v>
      </c>
      <c r="F10" s="4" t="inlineStr">
        <is>
          <t>Unidad</t>
        </is>
      </c>
      <c r="G10" s="7" t="n">
        <v>20000</v>
      </c>
      <c r="H10" s="8">
        <f>IF(OR(E10="",G10=""),"",E10*G10)</f>
        <v/>
      </c>
      <c r="I10" s="4" t="inlineStr">
        <is>
          <t>Obligatorio</t>
        </is>
      </c>
      <c r="J10" s="4" t="inlineStr">
        <is>
          <t>Ambas</t>
        </is>
      </c>
      <c r="K10" s="5" t="inlineStr">
        <is>
          <t>Dr. Durán: 'Termómetro' (botiquín)</t>
        </is>
      </c>
    </row>
    <row r="11">
      <c r="A11" s="4" t="n">
        <v>7</v>
      </c>
      <c r="B11" s="4" t="inlineStr">
        <is>
          <t>Equipos biomédicos</t>
        </is>
      </c>
      <c r="C11" s="5" t="inlineStr">
        <is>
          <t>Termómetro infrarrojo</t>
        </is>
      </c>
      <c r="D11" s="5" t="inlineStr">
        <is>
          <t>Frente, sin contacto</t>
        </is>
      </c>
      <c r="E11" s="6" t="n">
        <v>1</v>
      </c>
      <c r="F11" s="4" t="inlineStr">
        <is>
          <t>Unidad</t>
        </is>
      </c>
      <c r="G11" s="7" t="n">
        <v>120000</v>
      </c>
      <c r="H11" s="8">
        <f>IF(OR(E11="",G11=""),"",E11*G11)</f>
        <v/>
      </c>
      <c r="I11" s="4" t="inlineStr">
        <is>
          <t>Recomendado</t>
        </is>
      </c>
      <c r="J11" s="4" t="inlineStr">
        <is>
          <t>Dotación básica</t>
        </is>
      </c>
      <c r="K11" s="5" t="inlineStr"/>
    </row>
    <row r="12">
      <c r="A12" s="4" t="n">
        <v>8</v>
      </c>
      <c r="B12" s="4" t="inlineStr">
        <is>
          <t>Equipos biomédicos</t>
        </is>
      </c>
      <c r="C12" s="5" t="inlineStr">
        <is>
          <t>Pulsioxímetro</t>
        </is>
      </c>
      <c r="D12" s="5" t="inlineStr">
        <is>
          <t>De dedo, adulto/pediátrico</t>
        </is>
      </c>
      <c r="E12" s="6" t="n">
        <v>1</v>
      </c>
      <c r="F12" s="4" t="inlineStr">
        <is>
          <t>Unidad</t>
        </is>
      </c>
      <c r="G12" s="7" t="n">
        <v>120000</v>
      </c>
      <c r="H12" s="8">
        <f>IF(OR(E12="",G12=""),"",E12*G12)</f>
        <v/>
      </c>
      <c r="I12" s="4" t="inlineStr">
        <is>
          <t>Obligatorio</t>
        </is>
      </c>
      <c r="J12" s="4" t="inlineStr">
        <is>
          <t>Dotación básica</t>
        </is>
      </c>
      <c r="K12" s="5" t="inlineStr"/>
    </row>
    <row r="13">
      <c r="A13" s="4" t="n">
        <v>9</v>
      </c>
      <c r="B13" s="4" t="inlineStr">
        <is>
          <t>Equipos biomédicos</t>
        </is>
      </c>
      <c r="C13" s="5" t="inlineStr">
        <is>
          <t>Glucómetro</t>
        </is>
      </c>
      <c r="D13" s="5" t="inlineStr">
        <is>
          <t>Kit con lancetero</t>
        </is>
      </c>
      <c r="E13" s="6" t="n">
        <v>1</v>
      </c>
      <c r="F13" s="4" t="inlineStr">
        <is>
          <t>Kit</t>
        </is>
      </c>
      <c r="G13" s="7" t="n">
        <v>90000</v>
      </c>
      <c r="H13" s="8">
        <f>IF(OR(E13="",G13=""),"",E13*G13)</f>
        <v/>
      </c>
      <c r="I13" s="4" t="inlineStr">
        <is>
          <t>Recomendado</t>
        </is>
      </c>
      <c r="J13" s="4" t="inlineStr">
        <is>
          <t>Dotación básica</t>
        </is>
      </c>
      <c r="K13" s="5" t="inlineStr"/>
    </row>
    <row r="14">
      <c r="A14" s="4" t="n">
        <v>10</v>
      </c>
      <c r="B14" s="4" t="inlineStr">
        <is>
          <t>Equipos biomédicos</t>
        </is>
      </c>
      <c r="C14" s="5" t="inlineStr">
        <is>
          <t>Báscula de pie con tallímetro</t>
        </is>
      </c>
      <c r="D14" s="5" t="inlineStr">
        <is>
          <t>Digital o mecánica, hasta 180 kg</t>
        </is>
      </c>
      <c r="E14" s="6" t="n">
        <v>1</v>
      </c>
      <c r="F14" s="4" t="inlineStr">
        <is>
          <t>Unidad</t>
        </is>
      </c>
      <c r="G14" s="7" t="n">
        <v>950000</v>
      </c>
      <c r="H14" s="8">
        <f>IF(OR(E14="",G14=""),"",E14*G14)</f>
        <v/>
      </c>
      <c r="I14" s="4" t="inlineStr">
        <is>
          <t>Obligatorio</t>
        </is>
      </c>
      <c r="J14" s="4" t="inlineStr">
        <is>
          <t>Dotación básica</t>
        </is>
      </c>
      <c r="K14" s="5" t="inlineStr"/>
    </row>
    <row r="15">
      <c r="A15" s="4" t="n">
        <v>11</v>
      </c>
      <c r="B15" s="4" t="inlineStr">
        <is>
          <t>Equipos biomédicos</t>
        </is>
      </c>
      <c r="C15" s="5" t="inlineStr">
        <is>
          <t>Báscula pesabebés</t>
        </is>
      </c>
      <c r="D15" s="5" t="inlineStr">
        <is>
          <t>Digital, hasta 20 kg</t>
        </is>
      </c>
      <c r="E15" s="6" t="n">
        <v>1</v>
      </c>
      <c r="F15" s="4" t="inlineStr">
        <is>
          <t>Unidad</t>
        </is>
      </c>
      <c r="G15" s="7" t="n">
        <v>450000</v>
      </c>
      <c r="H15" s="8">
        <f>IF(OR(E15="",G15=""),"",E15*G15)</f>
        <v/>
      </c>
      <c r="I15" s="4" t="inlineStr">
        <is>
          <t>Obligatorio</t>
        </is>
      </c>
      <c r="J15" s="4" t="inlineStr">
        <is>
          <t>Dotación básica</t>
        </is>
      </c>
      <c r="K15" s="5" t="inlineStr">
        <is>
          <t>Si se atiende población pediátrica</t>
        </is>
      </c>
    </row>
    <row r="16">
      <c r="A16" s="4" t="n">
        <v>12</v>
      </c>
      <c r="B16" s="4" t="inlineStr">
        <is>
          <t>Equipos biomédicos</t>
        </is>
      </c>
      <c r="C16" s="5" t="inlineStr">
        <is>
          <t>Infantómetro</t>
        </is>
      </c>
      <c r="D16" s="5" t="inlineStr">
        <is>
          <t>Para medición en decúbito</t>
        </is>
      </c>
      <c r="E16" s="6" t="n">
        <v>1</v>
      </c>
      <c r="F16" s="4" t="inlineStr">
        <is>
          <t>Unidad</t>
        </is>
      </c>
      <c r="G16" s="7" t="n">
        <v>180000</v>
      </c>
      <c r="H16" s="8">
        <f>IF(OR(E16="",G16=""),"",E16*G16)</f>
        <v/>
      </c>
      <c r="I16" s="4" t="inlineStr">
        <is>
          <t>Obligatorio</t>
        </is>
      </c>
      <c r="J16" s="4" t="inlineStr">
        <is>
          <t>Dotación básica</t>
        </is>
      </c>
      <c r="K16" s="5" t="inlineStr">
        <is>
          <t>Si se atiende población pediátrica</t>
        </is>
      </c>
    </row>
    <row r="17">
      <c r="A17" s="4" t="n">
        <v>13</v>
      </c>
      <c r="B17" s="4" t="inlineStr">
        <is>
          <t>Equipos biomédicos</t>
        </is>
      </c>
      <c r="C17" s="5" t="inlineStr">
        <is>
          <t>Cinta métrica</t>
        </is>
      </c>
      <c r="D17" s="5" t="inlineStr">
        <is>
          <t>Inextensible, para perímetros</t>
        </is>
      </c>
      <c r="E17" s="6" t="n">
        <v>2</v>
      </c>
      <c r="F17" s="4" t="inlineStr">
        <is>
          <t>Unidad</t>
        </is>
      </c>
      <c r="G17" s="7" t="n">
        <v>15000</v>
      </c>
      <c r="H17" s="8">
        <f>IF(OR(E17="",G17=""),"",E17*G17)</f>
        <v/>
      </c>
      <c r="I17" s="4" t="inlineStr">
        <is>
          <t>Obligatorio</t>
        </is>
      </c>
      <c r="J17" s="4" t="inlineStr">
        <is>
          <t>Dotación básica</t>
        </is>
      </c>
      <c r="K17" s="5" t="inlineStr"/>
    </row>
    <row r="18">
      <c r="A18" s="4" t="n">
        <v>14</v>
      </c>
      <c r="B18" s="4" t="inlineStr">
        <is>
          <t>Equipos biomédicos</t>
        </is>
      </c>
      <c r="C18" s="5" t="inlineStr">
        <is>
          <t>Martillo de reflejos</t>
        </is>
      </c>
      <c r="D18" s="5" t="inlineStr">
        <is>
          <t>Tipo Taylor</t>
        </is>
      </c>
      <c r="E18" s="6" t="n">
        <v>1</v>
      </c>
      <c r="F18" s="4" t="inlineStr">
        <is>
          <t>Unidad</t>
        </is>
      </c>
      <c r="G18" s="7" t="n">
        <v>25000</v>
      </c>
      <c r="H18" s="8">
        <f>IF(OR(E18="",G18=""),"",E18*G18)</f>
        <v/>
      </c>
      <c r="I18" s="4" t="inlineStr">
        <is>
          <t>Obligatorio</t>
        </is>
      </c>
      <c r="J18" s="4" t="inlineStr">
        <is>
          <t>Dotación básica</t>
        </is>
      </c>
      <c r="K18" s="5" t="inlineStr"/>
    </row>
    <row r="19">
      <c r="A19" s="4" t="n">
        <v>15</v>
      </c>
      <c r="B19" s="4" t="inlineStr">
        <is>
          <t>Equipos biomédicos</t>
        </is>
      </c>
      <c r="C19" s="5" t="inlineStr">
        <is>
          <t>Diapasón</t>
        </is>
      </c>
      <c r="D19" s="5" t="inlineStr">
        <is>
          <t>128 Hz</t>
        </is>
      </c>
      <c r="E19" s="6" t="n">
        <v>1</v>
      </c>
      <c r="F19" s="4" t="inlineStr">
        <is>
          <t>Unidad</t>
        </is>
      </c>
      <c r="G19" s="7" t="n">
        <v>60000</v>
      </c>
      <c r="H19" s="8">
        <f>IF(OR(E19="",G19=""),"",E19*G19)</f>
        <v/>
      </c>
      <c r="I19" s="4" t="inlineStr">
        <is>
          <t>Recomendado</t>
        </is>
      </c>
      <c r="J19" s="4" t="inlineStr">
        <is>
          <t>Dotación básica</t>
        </is>
      </c>
      <c r="K19" s="5" t="inlineStr"/>
    </row>
    <row r="20">
      <c r="A20" s="4" t="n">
        <v>16</v>
      </c>
      <c r="B20" s="4" t="inlineStr">
        <is>
          <t>Equipos biomédicos</t>
        </is>
      </c>
      <c r="C20" s="5" t="inlineStr">
        <is>
          <t>Monofilamento 10 g</t>
        </is>
      </c>
      <c r="D20" s="5" t="inlineStr">
        <is>
          <t>Tamizaje pie diabético</t>
        </is>
      </c>
      <c r="E20" s="6" t="n">
        <v>1</v>
      </c>
      <c r="F20" s="4" t="inlineStr">
        <is>
          <t>Unidad</t>
        </is>
      </c>
      <c r="G20" s="7" t="n">
        <v>25000</v>
      </c>
      <c r="H20" s="8">
        <f>IF(OR(E20="",G20=""),"",E20*G20)</f>
        <v/>
      </c>
      <c r="I20" s="4" t="inlineStr">
        <is>
          <t>Recomendado</t>
        </is>
      </c>
      <c r="J20" s="4" t="inlineStr">
        <is>
          <t>Dotación básica</t>
        </is>
      </c>
      <c r="K20" s="5" t="inlineStr"/>
    </row>
    <row r="21">
      <c r="A21" s="4" t="n">
        <v>17</v>
      </c>
      <c r="B21" s="4" t="inlineStr">
        <is>
          <t>Equipos biomédicos</t>
        </is>
      </c>
      <c r="C21" s="5" t="inlineStr">
        <is>
          <t>Linterna de diagnóstico</t>
        </is>
      </c>
      <c r="D21" s="5" t="inlineStr">
        <is>
          <t>LED, tipo lápiz</t>
        </is>
      </c>
      <c r="E21" s="6" t="n">
        <v>1</v>
      </c>
      <c r="F21" s="4" t="inlineStr">
        <is>
          <t>Unidad</t>
        </is>
      </c>
      <c r="G21" s="7" t="n">
        <v>40000</v>
      </c>
      <c r="H21" s="8">
        <f>IF(OR(E21="",G21=""),"",E21*G21)</f>
        <v/>
      </c>
      <c r="I21" s="4" t="inlineStr">
        <is>
          <t>Obligatorio</t>
        </is>
      </c>
      <c r="J21" s="4" t="inlineStr">
        <is>
          <t>Dotación básica</t>
        </is>
      </c>
      <c r="K21" s="5" t="inlineStr"/>
    </row>
    <row r="22">
      <c r="A22" s="4" t="n">
        <v>18</v>
      </c>
      <c r="B22" s="4" t="inlineStr">
        <is>
          <t>Equipos biomédicos</t>
        </is>
      </c>
      <c r="C22" s="5" t="inlineStr">
        <is>
          <t>Tabla de Snellen</t>
        </is>
      </c>
      <c r="D22" s="5" t="inlineStr">
        <is>
          <t>Optotipos adulto/infantil</t>
        </is>
      </c>
      <c r="E22" s="6" t="n">
        <v>1</v>
      </c>
      <c r="F22" s="4" t="inlineStr">
        <is>
          <t>Unidad</t>
        </is>
      </c>
      <c r="G22" s="7" t="n">
        <v>30000</v>
      </c>
      <c r="H22" s="8">
        <f>IF(OR(E22="",G22=""),"",E22*G22)</f>
        <v/>
      </c>
      <c r="I22" s="4" t="inlineStr">
        <is>
          <t>Obligatorio</t>
        </is>
      </c>
      <c r="J22" s="4" t="inlineStr">
        <is>
          <t>Dotación básica</t>
        </is>
      </c>
      <c r="K22" s="5" t="inlineStr"/>
    </row>
    <row r="23">
      <c r="A23" s="4" t="n">
        <v>19</v>
      </c>
      <c r="B23" s="4" t="inlineStr">
        <is>
          <t>Equipos biomédicos</t>
        </is>
      </c>
      <c r="C23" s="5" t="inlineStr">
        <is>
          <t>Negatoscopio</t>
        </is>
      </c>
      <c r="D23" s="5" t="inlineStr">
        <is>
          <t>1 cuerpo, LED</t>
        </is>
      </c>
      <c r="E23" s="6" t="n">
        <v>1</v>
      </c>
      <c r="F23" s="4" t="inlineStr">
        <is>
          <t>Unidad</t>
        </is>
      </c>
      <c r="G23" s="7" t="n">
        <v>350000</v>
      </c>
      <c r="H23" s="8">
        <f>IF(OR(E23="",G23=""),"",E23*G23)</f>
        <v/>
      </c>
      <c r="I23" s="4" t="inlineStr">
        <is>
          <t>Opcional</t>
        </is>
      </c>
      <c r="J23" s="4" t="inlineStr">
        <is>
          <t>Dotación básica</t>
        </is>
      </c>
      <c r="K23" s="5" t="inlineStr"/>
    </row>
    <row r="24">
      <c r="A24" s="4" t="n">
        <v>20</v>
      </c>
      <c r="B24" s="4" t="inlineStr">
        <is>
          <t>Equipos biomédicos</t>
        </is>
      </c>
      <c r="C24" s="5" t="inlineStr">
        <is>
          <t>Electrocardiógrafo</t>
        </is>
      </c>
      <c r="D24" s="5" t="inlineStr">
        <is>
          <t>3 canales, con interpretación</t>
        </is>
      </c>
      <c r="E24" s="6" t="n">
        <v>1</v>
      </c>
      <c r="F24" s="4" t="inlineStr">
        <is>
          <t>Unidad</t>
        </is>
      </c>
      <c r="G24" s="7" t="n">
        <v>4500000</v>
      </c>
      <c r="H24" s="8">
        <f>IF(OR(E24="",G24=""),"",E24*G24)</f>
        <v/>
      </c>
      <c r="I24" s="4" t="inlineStr">
        <is>
          <t>Opcional</t>
        </is>
      </c>
      <c r="J24" s="4" t="inlineStr">
        <is>
          <t>Dotación básica</t>
        </is>
      </c>
      <c r="K24" s="5" t="inlineStr"/>
    </row>
    <row r="25">
      <c r="A25" s="4" t="n">
        <v>21</v>
      </c>
      <c r="B25" s="4" t="inlineStr">
        <is>
          <t>Mobiliario clínico</t>
        </is>
      </c>
      <c r="C25" s="5" t="inlineStr">
        <is>
          <t>Camilla de examen</t>
        </is>
      </c>
      <c r="D25" s="5" t="inlineStr">
        <is>
          <t>Tapizado sanitario, cabecera graduable</t>
        </is>
      </c>
      <c r="E25" s="6" t="n">
        <v>1</v>
      </c>
      <c r="F25" s="4" t="inlineStr">
        <is>
          <t>Unidad</t>
        </is>
      </c>
      <c r="G25" s="7" t="n">
        <v>750000</v>
      </c>
      <c r="H25" s="8">
        <f>IF(OR(E25="",G25=""),"",E25*G25)</f>
        <v/>
      </c>
      <c r="I25" s="4" t="inlineStr">
        <is>
          <t>Obligatorio</t>
        </is>
      </c>
      <c r="J25" s="4" t="inlineStr">
        <is>
          <t>Dotación básica</t>
        </is>
      </c>
      <c r="K25" s="5" t="inlineStr"/>
    </row>
    <row r="26">
      <c r="A26" s="4" t="n">
        <v>22</v>
      </c>
      <c r="B26" s="4" t="inlineStr">
        <is>
          <t>Mobiliario clínico</t>
        </is>
      </c>
      <c r="C26" s="5" t="inlineStr">
        <is>
          <t>Escalerilla</t>
        </is>
      </c>
      <c r="D26" s="5" t="inlineStr">
        <is>
          <t>2 pasos, antideslizante</t>
        </is>
      </c>
      <c r="E26" s="6" t="n">
        <v>1</v>
      </c>
      <c r="F26" s="4" t="inlineStr">
        <is>
          <t>Unidad</t>
        </is>
      </c>
      <c r="G26" s="7" t="n">
        <v>180000</v>
      </c>
      <c r="H26" s="8">
        <f>IF(OR(E26="",G26=""),"",E26*G26)</f>
        <v/>
      </c>
      <c r="I26" s="4" t="inlineStr">
        <is>
          <t>Obligatorio</t>
        </is>
      </c>
      <c r="J26" s="4" t="inlineStr">
        <is>
          <t>Dotación básica</t>
        </is>
      </c>
      <c r="K26" s="5" t="inlineStr"/>
    </row>
    <row r="27">
      <c r="A27" s="4" t="n">
        <v>23</v>
      </c>
      <c r="B27" s="4" t="inlineStr">
        <is>
          <t>Mobiliario clínico</t>
        </is>
      </c>
      <c r="C27" s="5" t="inlineStr">
        <is>
          <t>Lámpara de examen</t>
        </is>
      </c>
      <c r="D27" s="5" t="inlineStr">
        <is>
          <t>Cuello de cisne, LED, rodachinas</t>
        </is>
      </c>
      <c r="E27" s="6" t="n">
        <v>1</v>
      </c>
      <c r="F27" s="4" t="inlineStr">
        <is>
          <t>Unidad</t>
        </is>
      </c>
      <c r="G27" s="7" t="n">
        <v>450000</v>
      </c>
      <c r="H27" s="8">
        <f>IF(OR(E27="",G27=""),"",E27*G27)</f>
        <v/>
      </c>
      <c r="I27" s="4" t="inlineStr">
        <is>
          <t>Obligatorio</t>
        </is>
      </c>
      <c r="J27" s="4" t="inlineStr">
        <is>
          <t>Dotación básica</t>
        </is>
      </c>
      <c r="K27" s="5" t="inlineStr"/>
    </row>
    <row r="28">
      <c r="A28" s="4" t="n">
        <v>24</v>
      </c>
      <c r="B28" s="4" t="inlineStr">
        <is>
          <t>Mobiliario clínico</t>
        </is>
      </c>
      <c r="C28" s="5" t="inlineStr">
        <is>
          <t>Mesa auxiliar / de Mayo</t>
        </is>
      </c>
      <c r="D28" s="5" t="inlineStr">
        <is>
          <t>Acero inoxidable</t>
        </is>
      </c>
      <c r="E28" s="6" t="n">
        <v>1</v>
      </c>
      <c r="F28" s="4" t="inlineStr">
        <is>
          <t>Unidad</t>
        </is>
      </c>
      <c r="G28" s="7" t="n">
        <v>350000</v>
      </c>
      <c r="H28" s="8">
        <f>IF(OR(E28="",G28=""),"",E28*G28)</f>
        <v/>
      </c>
      <c r="I28" s="4" t="inlineStr">
        <is>
          <t>Recomendado</t>
        </is>
      </c>
      <c r="J28" s="4" t="inlineStr">
        <is>
          <t>Dotación básica</t>
        </is>
      </c>
      <c r="K28" s="5" t="inlineStr"/>
    </row>
    <row r="29">
      <c r="A29" s="4" t="n">
        <v>25</v>
      </c>
      <c r="B29" s="4" t="inlineStr">
        <is>
          <t>Mobiliario clínico</t>
        </is>
      </c>
      <c r="C29" s="5" t="inlineStr">
        <is>
          <t>Biombo</t>
        </is>
      </c>
      <c r="D29" s="5" t="inlineStr">
        <is>
          <t>2-3 cuerpos, lavable</t>
        </is>
      </c>
      <c r="E29" s="6" t="n">
        <v>1</v>
      </c>
      <c r="F29" s="4" t="inlineStr">
        <is>
          <t>Unidad</t>
        </is>
      </c>
      <c r="G29" s="7" t="n">
        <v>450000</v>
      </c>
      <c r="H29" s="8">
        <f>IF(OR(E29="",G29=""),"",E29*G29)</f>
        <v/>
      </c>
      <c r="I29" s="4" t="inlineStr">
        <is>
          <t>Obligatorio</t>
        </is>
      </c>
      <c r="J29" s="4" t="inlineStr">
        <is>
          <t>Dotación básica</t>
        </is>
      </c>
      <c r="K29" s="5" t="inlineStr">
        <is>
          <t>Privacidad del paciente</t>
        </is>
      </c>
    </row>
    <row r="30">
      <c r="A30" s="4" t="n">
        <v>26</v>
      </c>
      <c r="B30" s="4" t="inlineStr">
        <is>
          <t>Mobiliario clínico</t>
        </is>
      </c>
      <c r="C30" s="5" t="inlineStr">
        <is>
          <t>Taburete giratorio</t>
        </is>
      </c>
      <c r="D30" s="5" t="inlineStr">
        <is>
          <t>Altura graduable, rodachinas</t>
        </is>
      </c>
      <c r="E30" s="6" t="n">
        <v>1</v>
      </c>
      <c r="F30" s="4" t="inlineStr">
        <is>
          <t>Unidad</t>
        </is>
      </c>
      <c r="G30" s="7" t="n">
        <v>250000</v>
      </c>
      <c r="H30" s="8">
        <f>IF(OR(E30="",G30=""),"",E30*G30)</f>
        <v/>
      </c>
      <c r="I30" s="4" t="inlineStr">
        <is>
          <t>Recomendado</t>
        </is>
      </c>
      <c r="J30" s="4" t="inlineStr">
        <is>
          <t>Dotación básica</t>
        </is>
      </c>
      <c r="K30" s="5" t="inlineStr"/>
    </row>
    <row r="31">
      <c r="A31" s="4" t="n">
        <v>27</v>
      </c>
      <c r="B31" s="4" t="inlineStr">
        <is>
          <t>Mobiliario clínico</t>
        </is>
      </c>
      <c r="C31" s="5" t="inlineStr">
        <is>
          <t>Vitrina para insumos</t>
        </is>
      </c>
      <c r="D31" s="5" t="inlineStr">
        <is>
          <t>Metálica, puertas de vidrio</t>
        </is>
      </c>
      <c r="E31" s="6" t="n">
        <v>1</v>
      </c>
      <c r="F31" s="4" t="inlineStr">
        <is>
          <t>Unidad</t>
        </is>
      </c>
      <c r="G31" s="7" t="n">
        <v>800000</v>
      </c>
      <c r="H31" s="8">
        <f>IF(OR(E31="",G31=""),"",E31*G31)</f>
        <v/>
      </c>
      <c r="I31" s="4" t="inlineStr">
        <is>
          <t>Recomendado</t>
        </is>
      </c>
      <c r="J31" s="4" t="inlineStr">
        <is>
          <t>Dotación básica</t>
        </is>
      </c>
      <c r="K31" s="5" t="inlineStr"/>
    </row>
    <row r="32">
      <c r="A32" s="4" t="n">
        <v>28</v>
      </c>
      <c r="B32" s="4" t="inlineStr">
        <is>
          <t>Mobiliario de oficina</t>
        </is>
      </c>
      <c r="C32" s="5" t="inlineStr">
        <is>
          <t>Escritorio</t>
        </is>
      </c>
      <c r="D32" s="5" t="inlineStr">
        <is>
          <t>Superficie lavable</t>
        </is>
      </c>
      <c r="E32" s="6" t="n">
        <v>1</v>
      </c>
      <c r="F32" s="4" t="inlineStr">
        <is>
          <t>Unidad</t>
        </is>
      </c>
      <c r="G32" s="7" t="n">
        <v>600000</v>
      </c>
      <c r="H32" s="8">
        <f>IF(OR(E32="",G32=""),"",E32*G32)</f>
        <v/>
      </c>
      <c r="I32" s="4" t="inlineStr">
        <is>
          <t>Obligatorio</t>
        </is>
      </c>
      <c r="J32" s="4" t="inlineStr">
        <is>
          <t>Dotación básica</t>
        </is>
      </c>
      <c r="K32" s="5" t="inlineStr"/>
    </row>
    <row r="33">
      <c r="A33" s="4" t="n">
        <v>29</v>
      </c>
      <c r="B33" s="4" t="inlineStr">
        <is>
          <t>Mobiliario de oficina</t>
        </is>
      </c>
      <c r="C33" s="5" t="inlineStr">
        <is>
          <t>Silla ergonómica médico</t>
        </is>
      </c>
      <c r="D33" s="5" t="inlineStr">
        <is>
          <t>Con rodachinas</t>
        </is>
      </c>
      <c r="E33" s="6" t="n">
        <v>1</v>
      </c>
      <c r="F33" s="4" t="inlineStr">
        <is>
          <t>Unidad</t>
        </is>
      </c>
      <c r="G33" s="7" t="n">
        <v>450000</v>
      </c>
      <c r="H33" s="8">
        <f>IF(OR(E33="",G33=""),"",E33*G33)</f>
        <v/>
      </c>
      <c r="I33" s="4" t="inlineStr">
        <is>
          <t>Obligatorio</t>
        </is>
      </c>
      <c r="J33" s="4" t="inlineStr">
        <is>
          <t>Dotación básica</t>
        </is>
      </c>
      <c r="K33" s="5" t="inlineStr"/>
    </row>
    <row r="34">
      <c r="A34" s="4" t="n">
        <v>30</v>
      </c>
      <c r="B34" s="4" t="inlineStr">
        <is>
          <t>Mobiliario de oficina</t>
        </is>
      </c>
      <c r="C34" s="5" t="inlineStr">
        <is>
          <t>Sillas paciente / acompañante</t>
        </is>
      </c>
      <c r="D34" s="5" t="inlineStr">
        <is>
          <t>Tapizado lavable</t>
        </is>
      </c>
      <c r="E34" s="6" t="n">
        <v>2</v>
      </c>
      <c r="F34" s="4" t="inlineStr">
        <is>
          <t>Unidad</t>
        </is>
      </c>
      <c r="G34" s="7" t="n">
        <v>150000</v>
      </c>
      <c r="H34" s="8">
        <f>IF(OR(E34="",G34=""),"",E34*G34)</f>
        <v/>
      </c>
      <c r="I34" s="4" t="inlineStr">
        <is>
          <t>Obligatorio</t>
        </is>
      </c>
      <c r="J34" s="4" t="inlineStr">
        <is>
          <t>Dotación básica</t>
        </is>
      </c>
      <c r="K34" s="5" t="inlineStr"/>
    </row>
    <row r="35">
      <c r="A35" s="4" t="n">
        <v>31</v>
      </c>
      <c r="B35" s="4" t="inlineStr">
        <is>
          <t>Mobiliario de oficina</t>
        </is>
      </c>
      <c r="C35" s="5" t="inlineStr">
        <is>
          <t>Archivador</t>
        </is>
      </c>
      <c r="D35" s="5" t="inlineStr">
        <is>
          <t>4 gavetas, con llave</t>
        </is>
      </c>
      <c r="E35" s="6" t="n">
        <v>1</v>
      </c>
      <c r="F35" s="4" t="inlineStr">
        <is>
          <t>Unidad</t>
        </is>
      </c>
      <c r="G35" s="7" t="n">
        <v>700000</v>
      </c>
      <c r="H35" s="8">
        <f>IF(OR(E35="",G35=""),"",E35*G35)</f>
        <v/>
      </c>
      <c r="I35" s="4" t="inlineStr">
        <is>
          <t>Recomendado</t>
        </is>
      </c>
      <c r="J35" s="4" t="inlineStr">
        <is>
          <t>Dotación básica</t>
        </is>
      </c>
      <c r="K35" s="5" t="inlineStr">
        <is>
          <t>Custodia de documentos</t>
        </is>
      </c>
    </row>
    <row r="36">
      <c r="A36" s="4" t="n">
        <v>32</v>
      </c>
      <c r="B36" s="4" t="inlineStr">
        <is>
          <t>Tecnología</t>
        </is>
      </c>
      <c r="C36" s="5" t="inlineStr">
        <is>
          <t>Computador</t>
        </is>
      </c>
      <c r="D36" s="5" t="inlineStr">
        <is>
          <t>Para historia clínica electrónica</t>
        </is>
      </c>
      <c r="E36" s="6" t="n">
        <v>1</v>
      </c>
      <c r="F36" s="4" t="inlineStr">
        <is>
          <t>Unidad</t>
        </is>
      </c>
      <c r="G36" s="7" t="n">
        <v>2800000</v>
      </c>
      <c r="H36" s="8">
        <f>IF(OR(E36="",G36=""),"",E36*G36)</f>
        <v/>
      </c>
      <c r="I36" s="4" t="inlineStr">
        <is>
          <t>Obligatorio</t>
        </is>
      </c>
      <c r="J36" s="4" t="inlineStr">
        <is>
          <t>Dotación básica</t>
        </is>
      </c>
      <c r="K36" s="5" t="inlineStr"/>
    </row>
    <row r="37">
      <c r="A37" s="4" t="n">
        <v>33</v>
      </c>
      <c r="B37" s="4" t="inlineStr">
        <is>
          <t>Tecnología</t>
        </is>
      </c>
      <c r="C37" s="5" t="inlineStr">
        <is>
          <t>Impresora multifuncional</t>
        </is>
      </c>
      <c r="D37" s="5" t="inlineStr">
        <is>
          <t>Láser</t>
        </is>
      </c>
      <c r="E37" s="6" t="n">
        <v>1</v>
      </c>
      <c r="F37" s="4" t="inlineStr">
        <is>
          <t>Unidad</t>
        </is>
      </c>
      <c r="G37" s="7" t="n">
        <v>700000</v>
      </c>
      <c r="H37" s="8">
        <f>IF(OR(E37="",G37=""),"",E37*G37)</f>
        <v/>
      </c>
      <c r="I37" s="4" t="inlineStr">
        <is>
          <t>Recomendado</t>
        </is>
      </c>
      <c r="J37" s="4" t="inlineStr">
        <is>
          <t>Dotación básica</t>
        </is>
      </c>
      <c r="K37" s="5" t="inlineStr"/>
    </row>
    <row r="38">
      <c r="A38" s="4" t="n">
        <v>34</v>
      </c>
      <c r="B38" s="4" t="inlineStr">
        <is>
          <t>Instrumental</t>
        </is>
      </c>
      <c r="C38" s="5" t="inlineStr">
        <is>
          <t>Equipo de pequeña cirugía</t>
        </is>
      </c>
      <c r="D38" s="5" t="inlineStr">
        <is>
          <t>Porta agujas, pinzas con/sin garra, tijeras, mango de bisturí</t>
        </is>
      </c>
      <c r="E38" s="6" t="n">
        <v>2</v>
      </c>
      <c r="F38" s="4" t="inlineStr">
        <is>
          <t>Kit</t>
        </is>
      </c>
      <c r="G38" s="7" t="n">
        <v>250000</v>
      </c>
      <c r="H38" s="8">
        <f>IF(OR(E38="",G38=""),"",E38*G38)</f>
        <v/>
      </c>
      <c r="I38" s="4" t="inlineStr">
        <is>
          <t>Recomendado</t>
        </is>
      </c>
      <c r="J38" s="4" t="inlineStr">
        <is>
          <t>Dotación básica</t>
        </is>
      </c>
      <c r="K38" s="5" t="inlineStr">
        <is>
          <t>Si se realizan procedimientos menores</t>
        </is>
      </c>
    </row>
    <row r="39">
      <c r="A39" s="4" t="n">
        <v>35</v>
      </c>
      <c r="B39" s="4" t="inlineStr">
        <is>
          <t>Instrumental</t>
        </is>
      </c>
      <c r="C39" s="5" t="inlineStr">
        <is>
          <t>Pinza de Kelly</t>
        </is>
      </c>
      <c r="D39" s="5" t="inlineStr">
        <is>
          <t>Recta/curva, 14 cm</t>
        </is>
      </c>
      <c r="E39" s="6" t="n">
        <v>2</v>
      </c>
      <c r="F39" s="4" t="inlineStr">
        <is>
          <t>Unidad</t>
        </is>
      </c>
      <c r="G39" s="7" t="n">
        <v>30000</v>
      </c>
      <c r="H39" s="8">
        <f>IF(OR(E39="",G39=""),"",E39*G39)</f>
        <v/>
      </c>
      <c r="I39" s="4" t="inlineStr">
        <is>
          <t>Recomendado</t>
        </is>
      </c>
      <c r="J39" s="4" t="inlineStr">
        <is>
          <t>Dotación básica</t>
        </is>
      </c>
      <c r="K39" s="5" t="inlineStr"/>
    </row>
    <row r="40">
      <c r="A40" s="4" t="n">
        <v>36</v>
      </c>
      <c r="B40" s="4" t="inlineStr">
        <is>
          <t>Instrumental</t>
        </is>
      </c>
      <c r="C40" s="5" t="inlineStr">
        <is>
          <t>Riñonera</t>
        </is>
      </c>
      <c r="D40" s="5" t="inlineStr">
        <is>
          <t>Acero inoxidable</t>
        </is>
      </c>
      <c r="E40" s="6" t="n">
        <v>2</v>
      </c>
      <c r="F40" s="4" t="inlineStr">
        <is>
          <t>Unidad</t>
        </is>
      </c>
      <c r="G40" s="7" t="n">
        <v>35000</v>
      </c>
      <c r="H40" s="8">
        <f>IF(OR(E40="",G40=""),"",E40*G40)</f>
        <v/>
      </c>
      <c r="I40" s="4" t="inlineStr">
        <is>
          <t>Obligatorio</t>
        </is>
      </c>
      <c r="J40" s="4" t="inlineStr">
        <is>
          <t>Dotación básica</t>
        </is>
      </c>
      <c r="K40" s="5" t="inlineStr"/>
    </row>
    <row r="41">
      <c r="A41" s="4" t="n">
        <v>37</v>
      </c>
      <c r="B41" s="4" t="inlineStr">
        <is>
          <t>Instrumental</t>
        </is>
      </c>
      <c r="C41" s="5" t="inlineStr">
        <is>
          <t>Bandeja con tapa</t>
        </is>
      </c>
      <c r="D41" s="5" t="inlineStr">
        <is>
          <t>Acero inoxidable</t>
        </is>
      </c>
      <c r="E41" s="6" t="n">
        <v>2</v>
      </c>
      <c r="F41" s="4" t="inlineStr">
        <is>
          <t>Unidad</t>
        </is>
      </c>
      <c r="G41" s="7" t="n">
        <v>90000</v>
      </c>
      <c r="H41" s="8">
        <f>IF(OR(E41="",G41=""),"",E41*G41)</f>
        <v/>
      </c>
      <c r="I41" s="4" t="inlineStr">
        <is>
          <t>Recomendado</t>
        </is>
      </c>
      <c r="J41" s="4" t="inlineStr">
        <is>
          <t>Dotación básica</t>
        </is>
      </c>
      <c r="K41" s="5" t="inlineStr"/>
    </row>
    <row r="42">
      <c r="A42" s="4" t="n">
        <v>38</v>
      </c>
      <c r="B42" s="4" t="inlineStr">
        <is>
          <t>Emergencias</t>
        </is>
      </c>
      <c r="C42" s="5" t="inlineStr">
        <is>
          <t>Resucitador manual adulto</t>
        </is>
      </c>
      <c r="D42" s="5" t="inlineStr">
        <is>
          <t>Con mascarillas y reservorio</t>
        </is>
      </c>
      <c r="E42" s="6" t="n">
        <v>1</v>
      </c>
      <c r="F42" s="4" t="inlineStr">
        <is>
          <t>Unidad</t>
        </is>
      </c>
      <c r="G42" s="7" t="n">
        <v>180000</v>
      </c>
      <c r="H42" s="8">
        <f>IF(OR(E42="",G42=""),"",E42*G42)</f>
        <v/>
      </c>
      <c r="I42" s="4" t="inlineStr">
        <is>
          <t>Obligatorio</t>
        </is>
      </c>
      <c r="J42" s="4" t="inlineStr">
        <is>
          <t>Dotación básica</t>
        </is>
      </c>
      <c r="K42" s="5" t="inlineStr"/>
    </row>
    <row r="43">
      <c r="A43" s="4" t="n">
        <v>39</v>
      </c>
      <c r="B43" s="4" t="inlineStr">
        <is>
          <t>Emergencias</t>
        </is>
      </c>
      <c r="C43" s="5" t="inlineStr">
        <is>
          <t>Resucitador manual pediátrico</t>
        </is>
      </c>
      <c r="D43" s="5" t="inlineStr">
        <is>
          <t>Con mascarillas y reservorio</t>
        </is>
      </c>
      <c r="E43" s="6" t="n">
        <v>1</v>
      </c>
      <c r="F43" s="4" t="inlineStr">
        <is>
          <t>Unidad</t>
        </is>
      </c>
      <c r="G43" s="7" t="n">
        <v>180000</v>
      </c>
      <c r="H43" s="8">
        <f>IF(OR(E43="",G43=""),"",E43*G43)</f>
        <v/>
      </c>
      <c r="I43" s="4" t="inlineStr">
        <is>
          <t>Recomendado</t>
        </is>
      </c>
      <c r="J43" s="4" t="inlineStr">
        <is>
          <t>Dotación básica</t>
        </is>
      </c>
      <c r="K43" s="5" t="inlineStr"/>
    </row>
    <row r="44">
      <c r="A44" s="4" t="n">
        <v>40</v>
      </c>
      <c r="B44" s="4" t="inlineStr">
        <is>
          <t>Emergencias</t>
        </is>
      </c>
      <c r="C44" s="5" t="inlineStr">
        <is>
          <t>Cánulas orofaríngeas</t>
        </is>
      </c>
      <c r="D44" s="5" t="inlineStr">
        <is>
          <t>Juego de tallas</t>
        </is>
      </c>
      <c r="E44" s="6" t="n">
        <v>1</v>
      </c>
      <c r="F44" s="4" t="inlineStr">
        <is>
          <t>Juego</t>
        </is>
      </c>
      <c r="G44" s="7" t="n">
        <v>40000</v>
      </c>
      <c r="H44" s="8">
        <f>IF(OR(E44="",G44=""),"",E44*G44)</f>
        <v/>
      </c>
      <c r="I44" s="4" t="inlineStr">
        <is>
          <t>Obligatorio</t>
        </is>
      </c>
      <c r="J44" s="4" t="inlineStr">
        <is>
          <t>Dotación básica</t>
        </is>
      </c>
      <c r="K44" s="5" t="inlineStr"/>
    </row>
    <row r="45">
      <c r="A45" s="4" t="n">
        <v>41</v>
      </c>
      <c r="B45" s="4" t="inlineStr">
        <is>
          <t>Emergencias</t>
        </is>
      </c>
      <c r="C45" s="5" t="inlineStr">
        <is>
          <t>Desfibrilador externo automático (DEA)</t>
        </is>
      </c>
      <c r="D45" s="5" t="inlineStr">
        <is>
          <t>Con parches adulto/pediátrico</t>
        </is>
      </c>
      <c r="E45" s="6" t="n">
        <v>1</v>
      </c>
      <c r="F45" s="4" t="inlineStr">
        <is>
          <t>Unidad</t>
        </is>
      </c>
      <c r="G45" s="7" t="n">
        <v>6500000</v>
      </c>
      <c r="H45" s="8">
        <f>IF(OR(E45="",G45=""),"",E45*G45)</f>
        <v/>
      </c>
      <c r="I45" s="4" t="inlineStr">
        <is>
          <t>Opcional</t>
        </is>
      </c>
      <c r="J45" s="4" t="inlineStr">
        <is>
          <t>Dotación básica</t>
        </is>
      </c>
      <c r="K45" s="5" t="inlineStr"/>
    </row>
    <row r="46">
      <c r="A46" s="4" t="n">
        <v>42</v>
      </c>
      <c r="B46" s="4" t="inlineStr">
        <is>
          <t>Bioseguridad y residuos</t>
        </is>
      </c>
      <c r="C46" s="5" t="inlineStr">
        <is>
          <t>Caneca roja de pedal</t>
        </is>
      </c>
      <c r="D46" s="5" t="inlineStr">
        <is>
          <t>Residuos biosanitarios</t>
        </is>
      </c>
      <c r="E46" s="6" t="n">
        <v>1</v>
      </c>
      <c r="F46" s="4" t="inlineStr">
        <is>
          <t>Unidad</t>
        </is>
      </c>
      <c r="G46" s="7" t="n">
        <v>90000</v>
      </c>
      <c r="H46" s="8">
        <f>IF(OR(E46="",G46=""),"",E46*G46)</f>
        <v/>
      </c>
      <c r="I46" s="4" t="inlineStr">
        <is>
          <t>Obligatorio</t>
        </is>
      </c>
      <c r="J46" s="4" t="inlineStr">
        <is>
          <t>Dotación básica</t>
        </is>
      </c>
      <c r="K46" s="5" t="inlineStr">
        <is>
          <t>Gestión de residuos hospitalarios</t>
        </is>
      </c>
    </row>
    <row r="47">
      <c r="A47" s="4" t="n">
        <v>43</v>
      </c>
      <c r="B47" s="4" t="inlineStr">
        <is>
          <t>Bioseguridad y residuos</t>
        </is>
      </c>
      <c r="C47" s="5" t="inlineStr">
        <is>
          <t>Canecas de pedal blanca / negra</t>
        </is>
      </c>
      <c r="D47" s="5" t="inlineStr">
        <is>
          <t>Aprovechables / no aprovechables</t>
        </is>
      </c>
      <c r="E47" s="6" t="n">
        <v>2</v>
      </c>
      <c r="F47" s="4" t="inlineStr">
        <is>
          <t>Unidad</t>
        </is>
      </c>
      <c r="G47" s="7" t="n">
        <v>80000</v>
      </c>
      <c r="H47" s="8">
        <f>IF(OR(E47="",G47=""),"",E47*G47)</f>
        <v/>
      </c>
      <c r="I47" s="4" t="inlineStr">
        <is>
          <t>Obligatorio</t>
        </is>
      </c>
      <c r="J47" s="4" t="inlineStr">
        <is>
          <t>Dotación básica</t>
        </is>
      </c>
      <c r="K47" s="5" t="inlineStr"/>
    </row>
    <row r="48">
      <c r="A48" s="4" t="n">
        <v>44</v>
      </c>
      <c r="B48" s="4" t="inlineStr">
        <is>
          <t>Bioseguridad y residuos</t>
        </is>
      </c>
      <c r="C48" s="5" t="inlineStr">
        <is>
          <t>Guardián</t>
        </is>
      </c>
      <c r="D48" s="5" t="inlineStr">
        <is>
          <t>Contenedor de cortopunzantes 1,5 L</t>
        </is>
      </c>
      <c r="E48" s="6" t="n">
        <v>3</v>
      </c>
      <c r="F48" s="4" t="inlineStr">
        <is>
          <t>Unidad</t>
        </is>
      </c>
      <c r="G48" s="7" t="n">
        <v>12000</v>
      </c>
      <c r="H48" s="8">
        <f>IF(OR(E48="",G48=""),"",E48*G48)</f>
        <v/>
      </c>
      <c r="I48" s="4" t="inlineStr">
        <is>
          <t>Obligatorio</t>
        </is>
      </c>
      <c r="J48" s="4" t="inlineStr">
        <is>
          <t>Dotación básica</t>
        </is>
      </c>
      <c r="K48" s="5" t="inlineStr"/>
    </row>
    <row r="49">
      <c r="A49" s="4" t="n">
        <v>45</v>
      </c>
      <c r="B49" s="4" t="inlineStr">
        <is>
          <t>Bioseguridad y residuos</t>
        </is>
      </c>
      <c r="C49" s="5" t="inlineStr">
        <is>
          <t>Bolsas rojas</t>
        </is>
      </c>
      <c r="D49" s="5" t="inlineStr">
        <is>
          <t>Paquete x50</t>
        </is>
      </c>
      <c r="E49" s="6" t="n">
        <v>2</v>
      </c>
      <c r="F49" s="4" t="inlineStr">
        <is>
          <t>Paquete</t>
        </is>
      </c>
      <c r="G49" s="7" t="n">
        <v>25000</v>
      </c>
      <c r="H49" s="8">
        <f>IF(OR(E49="",G49=""),"",E49*G49)</f>
        <v/>
      </c>
      <c r="I49" s="4" t="inlineStr">
        <is>
          <t>Obligatorio</t>
        </is>
      </c>
      <c r="J49" s="4" t="inlineStr">
        <is>
          <t>Dotación básica</t>
        </is>
      </c>
      <c r="K49" s="5" t="inlineStr"/>
    </row>
    <row r="50">
      <c r="A50" s="4" t="n">
        <v>46</v>
      </c>
      <c r="B50" s="4" t="inlineStr">
        <is>
          <t>Bioseguridad y residuos</t>
        </is>
      </c>
      <c r="C50" s="5" t="inlineStr">
        <is>
          <t>Dispensadores jabón y toallas</t>
        </is>
      </c>
      <c r="D50" s="5" t="inlineStr">
        <is>
          <t>Para lavamanos</t>
        </is>
      </c>
      <c r="E50" s="6" t="n">
        <v>1</v>
      </c>
      <c r="F50" s="4" t="inlineStr">
        <is>
          <t>Juego</t>
        </is>
      </c>
      <c r="G50" s="7" t="n">
        <v>120000</v>
      </c>
      <c r="H50" s="8">
        <f>IF(OR(E50="",G50=""),"",E50*G50)</f>
        <v/>
      </c>
      <c r="I50" s="4" t="inlineStr">
        <is>
          <t>Obligatorio</t>
        </is>
      </c>
      <c r="J50" s="4" t="inlineStr">
        <is>
          <t>Ambas</t>
        </is>
      </c>
      <c r="K50" s="5" t="inlineStr">
        <is>
          <t>Dr. Durán pide el jabón y las toallas (ver Aseo)</t>
        </is>
      </c>
    </row>
    <row r="51">
      <c r="A51" s="4" t="n">
        <v>47</v>
      </c>
      <c r="B51" s="4" t="inlineStr">
        <is>
          <t>Bioseguridad y residuos</t>
        </is>
      </c>
      <c r="C51" s="5" t="inlineStr">
        <is>
          <t>Kit de derrames</t>
        </is>
      </c>
      <c r="D51" s="5" t="inlineStr">
        <is>
          <t>Material absorbente, EPP, bolsas</t>
        </is>
      </c>
      <c r="E51" s="6" t="n">
        <v>1</v>
      </c>
      <c r="F51" s="4" t="inlineStr">
        <is>
          <t>Kit</t>
        </is>
      </c>
      <c r="G51" s="7" t="n">
        <v>150000</v>
      </c>
      <c r="H51" s="8">
        <f>IF(OR(E51="",G51=""),"",E51*G51)</f>
        <v/>
      </c>
      <c r="I51" s="4" t="inlineStr">
        <is>
          <t>Obligatorio</t>
        </is>
      </c>
      <c r="J51" s="4" t="inlineStr">
        <is>
          <t>Dotación básica</t>
        </is>
      </c>
      <c r="K51" s="5" t="inlineStr"/>
    </row>
    <row r="52">
      <c r="A52" s="4" t="n">
        <v>48</v>
      </c>
      <c r="B52" s="4" t="inlineStr">
        <is>
          <t>Consumibles</t>
        </is>
      </c>
      <c r="C52" s="5" t="inlineStr">
        <is>
          <t>Guantes de examen de nitrilo</t>
        </is>
      </c>
      <c r="D52" s="5" t="inlineStr">
        <is>
          <t>Caja x100</t>
        </is>
      </c>
      <c r="E52" s="6" t="n">
        <v>5</v>
      </c>
      <c r="F52" s="4" t="inlineStr">
        <is>
          <t>Caja</t>
        </is>
      </c>
      <c r="G52" s="7" t="n">
        <v>30000</v>
      </c>
      <c r="H52" s="8">
        <f>IF(OR(E52="",G52=""),"",E52*G52)</f>
        <v/>
      </c>
      <c r="I52" s="4" t="inlineStr">
        <is>
          <t>Obligatorio</t>
        </is>
      </c>
      <c r="J52" s="4" t="inlineStr">
        <is>
          <t>Ambas</t>
        </is>
      </c>
      <c r="K52" s="5" t="inlineStr">
        <is>
          <t>Dr. Durán: 'Guantes de examen' y 'Guantes desechables'</t>
        </is>
      </c>
    </row>
    <row r="53">
      <c r="A53" s="4" t="n">
        <v>49</v>
      </c>
      <c r="B53" s="4" t="inlineStr">
        <is>
          <t>Consumibles</t>
        </is>
      </c>
      <c r="C53" s="5" t="inlineStr">
        <is>
          <t>Guantes estériles</t>
        </is>
      </c>
      <c r="D53" s="5" t="inlineStr">
        <is>
          <t>Caja x50 pares</t>
        </is>
      </c>
      <c r="E53" s="6" t="n">
        <v>1</v>
      </c>
      <c r="F53" s="4" t="inlineStr">
        <is>
          <t>Caja</t>
        </is>
      </c>
      <c r="G53" s="7" t="n">
        <v>90000</v>
      </c>
      <c r="H53" s="8">
        <f>IF(OR(E53="",G53=""),"",E53*G53)</f>
        <v/>
      </c>
      <c r="I53" s="4" t="inlineStr">
        <is>
          <t>Recomendado</t>
        </is>
      </c>
      <c r="J53" s="4" t="inlineStr">
        <is>
          <t>Dotación básica</t>
        </is>
      </c>
      <c r="K53" s="5" t="inlineStr"/>
    </row>
    <row r="54">
      <c r="A54" s="4" t="n">
        <v>50</v>
      </c>
      <c r="B54" s="4" t="inlineStr">
        <is>
          <t>Consumibles</t>
        </is>
      </c>
      <c r="C54" s="5" t="inlineStr">
        <is>
          <t>Tapabocas quirúrgicos</t>
        </is>
      </c>
      <c r="D54" s="5" t="inlineStr">
        <is>
          <t>Caja x50</t>
        </is>
      </c>
      <c r="E54" s="6" t="n">
        <v>3</v>
      </c>
      <c r="F54" s="4" t="inlineStr">
        <is>
          <t>Caja</t>
        </is>
      </c>
      <c r="G54" s="7" t="n">
        <v>15000</v>
      </c>
      <c r="H54" s="8">
        <f>IF(OR(E54="",G54=""),"",E54*G54)</f>
        <v/>
      </c>
      <c r="I54" s="4" t="inlineStr">
        <is>
          <t>Obligatorio</t>
        </is>
      </c>
      <c r="J54" s="4" t="inlineStr">
        <is>
          <t>Dotación básica</t>
        </is>
      </c>
      <c r="K54" s="5" t="inlineStr"/>
    </row>
    <row r="55">
      <c r="A55" s="4" t="n">
        <v>51</v>
      </c>
      <c r="B55" s="4" t="inlineStr">
        <is>
          <t>Consumibles</t>
        </is>
      </c>
      <c r="C55" s="5" t="inlineStr">
        <is>
          <t>Respiradores N95</t>
        </is>
      </c>
      <c r="D55" s="5" t="inlineStr">
        <is>
          <t>Caja x20</t>
        </is>
      </c>
      <c r="E55" s="6" t="n">
        <v>1</v>
      </c>
      <c r="F55" s="4" t="inlineStr">
        <is>
          <t>Caja</t>
        </is>
      </c>
      <c r="G55" s="7" t="n">
        <v>60000</v>
      </c>
      <c r="H55" s="8">
        <f>IF(OR(E55="",G55=""),"",E55*G55)</f>
        <v/>
      </c>
      <c r="I55" s="4" t="inlineStr">
        <is>
          <t>Recomendado</t>
        </is>
      </c>
      <c r="J55" s="4" t="inlineStr">
        <is>
          <t>Dotación básica</t>
        </is>
      </c>
      <c r="K55" s="5" t="inlineStr"/>
    </row>
    <row r="56">
      <c r="A56" s="4" t="n">
        <v>52</v>
      </c>
      <c r="B56" s="4" t="inlineStr">
        <is>
          <t>Consumibles</t>
        </is>
      </c>
      <c r="C56" s="5" t="inlineStr">
        <is>
          <t>Papel para camilla</t>
        </is>
      </c>
      <c r="D56" s="5" t="inlineStr">
        <is>
          <t>Rollo</t>
        </is>
      </c>
      <c r="E56" s="6" t="n">
        <v>6</v>
      </c>
      <c r="F56" s="4" t="inlineStr">
        <is>
          <t>Rollo</t>
        </is>
      </c>
      <c r="G56" s="7" t="n">
        <v>25000</v>
      </c>
      <c r="H56" s="8">
        <f>IF(OR(E56="",G56=""),"",E56*G56)</f>
        <v/>
      </c>
      <c r="I56" s="4" t="inlineStr">
        <is>
          <t>Obligatorio</t>
        </is>
      </c>
      <c r="J56" s="4" t="inlineStr">
        <is>
          <t>Dotación básica</t>
        </is>
      </c>
      <c r="K56" s="5" t="inlineStr"/>
    </row>
    <row r="57">
      <c r="A57" s="4" t="n">
        <v>53</v>
      </c>
      <c r="B57" s="4" t="inlineStr">
        <is>
          <t>Consumibles</t>
        </is>
      </c>
      <c r="C57" s="5" t="inlineStr">
        <is>
          <t>Bajalenguas</t>
        </is>
      </c>
      <c r="D57" s="5" t="inlineStr">
        <is>
          <t>Caja x100</t>
        </is>
      </c>
      <c r="E57" s="6" t="n">
        <v>3</v>
      </c>
      <c r="F57" s="4" t="inlineStr">
        <is>
          <t>Caja</t>
        </is>
      </c>
      <c r="G57" s="7" t="n">
        <v>8000</v>
      </c>
      <c r="H57" s="8">
        <f>IF(OR(E57="",G57=""),"",E57*G57)</f>
        <v/>
      </c>
      <c r="I57" s="4" t="inlineStr">
        <is>
          <t>Obligatorio</t>
        </is>
      </c>
      <c r="J57" s="4" t="inlineStr">
        <is>
          <t>Dotación básica</t>
        </is>
      </c>
      <c r="K57" s="5" t="inlineStr"/>
    </row>
    <row r="58">
      <c r="A58" s="4" t="n">
        <v>54</v>
      </c>
      <c r="B58" s="4" t="inlineStr">
        <is>
          <t>Consumibles</t>
        </is>
      </c>
      <c r="C58" s="5" t="inlineStr">
        <is>
          <t>Gasas estériles</t>
        </is>
      </c>
      <c r="D58" s="5" t="inlineStr">
        <is>
          <t>Paquete x100</t>
        </is>
      </c>
      <c r="E58" s="6" t="n">
        <v>2</v>
      </c>
      <c r="F58" s="4" t="inlineStr">
        <is>
          <t>Paquete</t>
        </is>
      </c>
      <c r="G58" s="7" t="n">
        <v>30000</v>
      </c>
      <c r="H58" s="8">
        <f>IF(OR(E58="",G58=""),"",E58*G58)</f>
        <v/>
      </c>
      <c r="I58" s="4" t="inlineStr">
        <is>
          <t>Obligatorio</t>
        </is>
      </c>
      <c r="J58" s="4" t="inlineStr">
        <is>
          <t>Ambas</t>
        </is>
      </c>
      <c r="K58" s="5" t="inlineStr">
        <is>
          <t>Dr. Durán: gasas para retiro de puntos y botiquín</t>
        </is>
      </c>
    </row>
    <row r="59">
      <c r="A59" s="4" t="n">
        <v>55</v>
      </c>
      <c r="B59" s="4" t="inlineStr">
        <is>
          <t>Consumibles</t>
        </is>
      </c>
      <c r="C59" s="5" t="inlineStr">
        <is>
          <t>Algodón</t>
        </is>
      </c>
      <c r="D59" s="5" t="inlineStr">
        <is>
          <t>500 g</t>
        </is>
      </c>
      <c r="E59" s="6" t="n">
        <v>1</v>
      </c>
      <c r="F59" s="4" t="inlineStr">
        <is>
          <t>Unidad</t>
        </is>
      </c>
      <c r="G59" s="7" t="n">
        <v>15000</v>
      </c>
      <c r="H59" s="8">
        <f>IF(OR(E59="",G59=""),"",E59*G59)</f>
        <v/>
      </c>
      <c r="I59" s="4" t="inlineStr">
        <is>
          <t>Obligatorio</t>
        </is>
      </c>
      <c r="J59" s="4" t="inlineStr">
        <is>
          <t>Ambas</t>
        </is>
      </c>
      <c r="K59" s="5" t="inlineStr">
        <is>
          <t>Dr. Durán: botiquín</t>
        </is>
      </c>
    </row>
    <row r="60">
      <c r="A60" s="4" t="n">
        <v>56</v>
      </c>
      <c r="B60" s="4" t="inlineStr">
        <is>
          <t>Consumibles</t>
        </is>
      </c>
      <c r="C60" s="5" t="inlineStr">
        <is>
          <t>Alcohol antiséptico 70%</t>
        </is>
      </c>
      <c r="D60" s="5" t="inlineStr">
        <is>
          <t>Litro</t>
        </is>
      </c>
      <c r="E60" s="6" t="n">
        <v>2</v>
      </c>
      <c r="F60" s="4" t="inlineStr">
        <is>
          <t>Unidad</t>
        </is>
      </c>
      <c r="G60" s="7" t="n">
        <v>18000</v>
      </c>
      <c r="H60" s="8">
        <f>IF(OR(E60="",G60=""),"",E60*G60)</f>
        <v/>
      </c>
      <c r="I60" s="4" t="inlineStr">
        <is>
          <t>Obligatorio</t>
        </is>
      </c>
      <c r="J60" s="4" t="inlineStr">
        <is>
          <t>Ambas</t>
        </is>
      </c>
      <c r="K60" s="5" t="inlineStr">
        <is>
          <t>Dr. Durán: botiquín</t>
        </is>
      </c>
    </row>
    <row r="61">
      <c r="A61" s="4" t="n">
        <v>57</v>
      </c>
      <c r="B61" s="4" t="inlineStr">
        <is>
          <t>Consumibles</t>
        </is>
      </c>
      <c r="C61" s="5" t="inlineStr">
        <is>
          <t>Gel antibacterial</t>
        </is>
      </c>
      <c r="D61" s="5" t="inlineStr">
        <is>
          <t>Litro</t>
        </is>
      </c>
      <c r="E61" s="6" t="n">
        <v>3</v>
      </c>
      <c r="F61" s="4" t="inlineStr">
        <is>
          <t>Unidad</t>
        </is>
      </c>
      <c r="G61" s="7" t="n">
        <v>20000</v>
      </c>
      <c r="H61" s="8">
        <f>IF(OR(E61="",G61=""),"",E61*G61)</f>
        <v/>
      </c>
      <c r="I61" s="4" t="inlineStr">
        <is>
          <t>Obligatorio</t>
        </is>
      </c>
      <c r="J61" s="4" t="inlineStr">
        <is>
          <t>Dotación básica</t>
        </is>
      </c>
      <c r="K61" s="5" t="inlineStr"/>
    </row>
    <row r="62">
      <c r="A62" s="4" t="n">
        <v>58</v>
      </c>
      <c r="B62" s="4" t="inlineStr">
        <is>
          <t>Consumibles</t>
        </is>
      </c>
      <c r="C62" s="5" t="inlineStr">
        <is>
          <t>Clorhexidina jabonosa 4%</t>
        </is>
      </c>
      <c r="D62" s="5" t="inlineStr">
        <is>
          <t>Frasco 1 L</t>
        </is>
      </c>
      <c r="E62" s="6" t="n">
        <v>1</v>
      </c>
      <c r="F62" s="4" t="inlineStr">
        <is>
          <t>Unidad</t>
        </is>
      </c>
      <c r="G62" s="7" t="n">
        <v>45000</v>
      </c>
      <c r="H62" s="8">
        <f>IF(OR(E62="",G62=""),"",E62*G62)</f>
        <v/>
      </c>
      <c r="I62" s="4" t="inlineStr">
        <is>
          <t>Recomendado</t>
        </is>
      </c>
      <c r="J62" s="4" t="inlineStr">
        <is>
          <t>Dotación básica</t>
        </is>
      </c>
      <c r="K62" s="5" t="inlineStr"/>
    </row>
    <row r="63">
      <c r="A63" s="4" t="n">
        <v>59</v>
      </c>
      <c r="B63" s="4" t="inlineStr">
        <is>
          <t>Consumibles</t>
        </is>
      </c>
      <c r="C63" s="5" t="inlineStr">
        <is>
          <t>Desinfectante de superficies</t>
        </is>
      </c>
      <c r="D63" s="5" t="inlineStr">
        <is>
          <t>Amonio cuaternario, galón</t>
        </is>
      </c>
      <c r="E63" s="6" t="n">
        <v>2</v>
      </c>
      <c r="F63" s="4" t="inlineStr">
        <is>
          <t>Galón</t>
        </is>
      </c>
      <c r="G63" s="7" t="n">
        <v>60000</v>
      </c>
      <c r="H63" s="8">
        <f>IF(OR(E63="",G63=""),"",E63*G63)</f>
        <v/>
      </c>
      <c r="I63" s="4" t="inlineStr">
        <is>
          <t>Obligatorio</t>
        </is>
      </c>
      <c r="J63" s="4" t="inlineStr">
        <is>
          <t>Dotación básica</t>
        </is>
      </c>
      <c r="K63" s="5" t="inlineStr"/>
    </row>
    <row r="64">
      <c r="A64" s="4" t="n">
        <v>60</v>
      </c>
      <c r="B64" s="4" t="inlineStr">
        <is>
          <t>Consumibles</t>
        </is>
      </c>
      <c r="C64" s="5" t="inlineStr">
        <is>
          <t>Jeringas desechables 5 ml</t>
        </is>
      </c>
      <c r="D64" s="5" t="inlineStr">
        <is>
          <t>Caja x100</t>
        </is>
      </c>
      <c r="E64" s="6" t="n">
        <v>1</v>
      </c>
      <c r="F64" s="4" t="inlineStr">
        <is>
          <t>Caja</t>
        </is>
      </c>
      <c r="G64" s="7" t="n">
        <v>45000</v>
      </c>
      <c r="H64" s="8">
        <f>IF(OR(E64="",G64=""),"",E64*G64)</f>
        <v/>
      </c>
      <c r="I64" s="4" t="inlineStr">
        <is>
          <t>Recomendado</t>
        </is>
      </c>
      <c r="J64" s="4" t="inlineStr">
        <is>
          <t>Dotación básica</t>
        </is>
      </c>
      <c r="K64" s="5" t="inlineStr"/>
    </row>
    <row r="65">
      <c r="A65" s="4" t="n">
        <v>61</v>
      </c>
      <c r="B65" s="4" t="inlineStr">
        <is>
          <t>Consumibles</t>
        </is>
      </c>
      <c r="C65" s="5" t="inlineStr">
        <is>
          <t>Suturas nylon 3-0 / 4-0</t>
        </is>
      </c>
      <c r="D65" s="5" t="inlineStr">
        <is>
          <t>Caja x12</t>
        </is>
      </c>
      <c r="E65" s="6" t="n">
        <v>2</v>
      </c>
      <c r="F65" s="4" t="inlineStr">
        <is>
          <t>Caja</t>
        </is>
      </c>
      <c r="G65" s="7" t="n">
        <v>90000</v>
      </c>
      <c r="H65" s="8">
        <f>IF(OR(E65="",G65=""),"",E65*G65)</f>
        <v/>
      </c>
      <c r="I65" s="4" t="inlineStr">
        <is>
          <t>Recomendado</t>
        </is>
      </c>
      <c r="J65" s="4" t="inlineStr">
        <is>
          <t>Dotación básica</t>
        </is>
      </c>
      <c r="K65" s="5" t="inlineStr"/>
    </row>
    <row r="66">
      <c r="A66" s="4" t="n">
        <v>62</v>
      </c>
      <c r="B66" s="4" t="inlineStr">
        <is>
          <t>Consumibles</t>
        </is>
      </c>
      <c r="C66" s="5" t="inlineStr">
        <is>
          <t>Hojas de bisturí</t>
        </is>
      </c>
      <c r="D66" s="5" t="inlineStr">
        <is>
          <t>Caja x100</t>
        </is>
      </c>
      <c r="E66" s="6" t="n">
        <v>1</v>
      </c>
      <c r="F66" s="4" t="inlineStr">
        <is>
          <t>Caja</t>
        </is>
      </c>
      <c r="G66" s="7" t="n">
        <v>45000</v>
      </c>
      <c r="H66" s="8">
        <f>IF(OR(E66="",G66=""),"",E66*G66)</f>
        <v/>
      </c>
      <c r="I66" s="4" t="inlineStr">
        <is>
          <t>Recomendado</t>
        </is>
      </c>
      <c r="J66" s="4" t="inlineStr">
        <is>
          <t>Dotación básica</t>
        </is>
      </c>
      <c r="K66" s="5" t="inlineStr"/>
    </row>
    <row r="67">
      <c r="A67" s="4" t="n">
        <v>63</v>
      </c>
      <c r="B67" s="4" t="inlineStr">
        <is>
          <t>Consumibles</t>
        </is>
      </c>
      <c r="C67" s="5" t="inlineStr">
        <is>
          <t>Tiras de glucometría</t>
        </is>
      </c>
      <c r="D67" s="5" t="inlineStr">
        <is>
          <t>Caja x50</t>
        </is>
      </c>
      <c r="E67" s="6" t="n">
        <v>2</v>
      </c>
      <c r="F67" s="4" t="inlineStr">
        <is>
          <t>Caja</t>
        </is>
      </c>
      <c r="G67" s="7" t="n">
        <v>70000</v>
      </c>
      <c r="H67" s="8">
        <f>IF(OR(E67="",G67=""),"",E67*G67)</f>
        <v/>
      </c>
      <c r="I67" s="4" t="inlineStr">
        <is>
          <t>Recomendado</t>
        </is>
      </c>
      <c r="J67" s="4" t="inlineStr">
        <is>
          <t>Dotación básica</t>
        </is>
      </c>
      <c r="K67" s="5" t="inlineStr"/>
    </row>
    <row r="68">
      <c r="A68" s="4" t="n">
        <v>64</v>
      </c>
      <c r="B68" s="4" t="inlineStr">
        <is>
          <t>Consumibles</t>
        </is>
      </c>
      <c r="C68" s="5" t="inlineStr">
        <is>
          <t>Espéculos vaginales desechables</t>
        </is>
      </c>
      <c r="D68" s="5" t="inlineStr">
        <is>
          <t>Talla M, paquete x25</t>
        </is>
      </c>
      <c r="E68" s="6" t="n">
        <v>2</v>
      </c>
      <c r="F68" s="4" t="inlineStr">
        <is>
          <t>Paquete</t>
        </is>
      </c>
      <c r="G68" s="7" t="n">
        <v>45000</v>
      </c>
      <c r="H68" s="8">
        <f>IF(OR(E68="",G68=""),"",E68*G68)</f>
        <v/>
      </c>
      <c r="I68" s="4" t="inlineStr">
        <is>
          <t>Recomendado</t>
        </is>
      </c>
      <c r="J68" s="4" t="inlineStr">
        <is>
          <t>Dotación básica</t>
        </is>
      </c>
      <c r="K68" s="5" t="inlineStr">
        <is>
          <t>Si se toma citología</t>
        </is>
      </c>
    </row>
    <row r="69">
      <c r="A69" s="4" t="n">
        <v>65</v>
      </c>
      <c r="B69" s="4" t="inlineStr">
        <is>
          <t>Atención de pacientes</t>
        </is>
      </c>
      <c r="C69" s="5" t="inlineStr">
        <is>
          <t>Caja menor con llave</t>
        </is>
      </c>
      <c r="D69" s="5" t="inlineStr">
        <is>
          <t>Metálica, para guardar dinero de caja chica</t>
        </is>
      </c>
      <c r="E69" s="6" t="n">
        <v>1</v>
      </c>
      <c r="F69" s="4" t="inlineStr">
        <is>
          <t>Unidad</t>
        </is>
      </c>
      <c r="G69" s="7" t="n">
        <v>80000</v>
      </c>
      <c r="H69" s="8">
        <f>IF(OR(E69="",G69=""),"",E69*G69)</f>
        <v/>
      </c>
      <c r="I69" s="4" t="inlineStr">
        <is>
          <t>Recomendado</t>
        </is>
      </c>
      <c r="J69" s="4" t="inlineStr">
        <is>
          <t>Dr. Sergio Durán</t>
        </is>
      </c>
      <c r="K69" s="5" t="inlineStr">
        <is>
          <t>Dr. Durán: 'Caja chica (para almacenamiento) – para guardar dinero'</t>
        </is>
      </c>
    </row>
    <row r="70">
      <c r="A70" s="4" t="n">
        <v>66</v>
      </c>
      <c r="B70" s="4" t="inlineStr">
        <is>
          <t>Instrumental</t>
        </is>
      </c>
      <c r="C70" s="5" t="inlineStr">
        <is>
          <t>Kit para retiro de puntos</t>
        </is>
      </c>
      <c r="D70" s="5" t="inlineStr">
        <is>
          <t>Tijera de retiro de puntos (Spencer) + pinza de disección</t>
        </is>
      </c>
      <c r="E70" s="6" t="n">
        <v>2</v>
      </c>
      <c r="F70" s="4" t="inlineStr">
        <is>
          <t>Kit</t>
        </is>
      </c>
      <c r="G70" s="7" t="n">
        <v>60000</v>
      </c>
      <c r="H70" s="8">
        <f>IF(OR(E70="",G70=""),"",E70*G70)</f>
        <v/>
      </c>
      <c r="I70" s="4" t="inlineStr">
        <is>
          <t>Obligatorio</t>
        </is>
      </c>
      <c r="J70" s="4" t="inlineStr">
        <is>
          <t>Dr. Sergio Durán</t>
        </is>
      </c>
      <c r="K70" s="5" t="inlineStr">
        <is>
          <t>Gasas incluidas en Consumibles; según protocolo</t>
        </is>
      </c>
    </row>
    <row r="71">
      <c r="A71" s="4" t="n">
        <v>67</v>
      </c>
      <c r="B71" s="4" t="inlineStr">
        <is>
          <t>Papelería y oficina</t>
        </is>
      </c>
      <c r="C71" s="5" t="inlineStr">
        <is>
          <t>Lapiceros, lápices y marcadores</t>
        </is>
      </c>
      <c r="D71" s="5" t="inlineStr">
        <is>
          <t>Surtido (incluye resaltadores)</t>
        </is>
      </c>
      <c r="E71" s="6" t="n">
        <v>1</v>
      </c>
      <c r="F71" s="4" t="inlineStr">
        <is>
          <t>Lote</t>
        </is>
      </c>
      <c r="G71" s="7" t="n">
        <v>50000</v>
      </c>
      <c r="H71" s="8">
        <f>IF(OR(E71="",G71=""),"",E71*G71)</f>
        <v/>
      </c>
      <c r="I71" s="4" t="inlineStr">
        <is>
          <t>Obligatorio</t>
        </is>
      </c>
      <c r="J71" s="4" t="inlineStr">
        <is>
          <t>Dr. Sergio Durán</t>
        </is>
      </c>
      <c r="K71" s="5" t="inlineStr"/>
    </row>
    <row r="72">
      <c r="A72" s="4" t="n">
        <v>68</v>
      </c>
      <c r="B72" s="4" t="inlineStr">
        <is>
          <t>Papelería y oficina</t>
        </is>
      </c>
      <c r="C72" s="5" t="inlineStr">
        <is>
          <t>Engrapadora (cosedora)</t>
        </is>
      </c>
      <c r="D72" s="5" t="inlineStr">
        <is>
          <t>Con caja de ganchos</t>
        </is>
      </c>
      <c r="E72" s="6" t="n">
        <v>1</v>
      </c>
      <c r="F72" s="4" t="inlineStr">
        <is>
          <t>Unidad</t>
        </is>
      </c>
      <c r="G72" s="7" t="n">
        <v>25000</v>
      </c>
      <c r="H72" s="8">
        <f>IF(OR(E72="",G72=""),"",E72*G72)</f>
        <v/>
      </c>
      <c r="I72" s="4" t="inlineStr">
        <is>
          <t>Obligatorio</t>
        </is>
      </c>
      <c r="J72" s="4" t="inlineStr">
        <is>
          <t>Dr. Sergio Durán</t>
        </is>
      </c>
      <c r="K72" s="5" t="inlineStr"/>
    </row>
    <row r="73">
      <c r="A73" s="4" t="n">
        <v>69</v>
      </c>
      <c r="B73" s="4" t="inlineStr">
        <is>
          <t>Papelería y oficina</t>
        </is>
      </c>
      <c r="C73" s="5" t="inlineStr">
        <is>
          <t>Clips para papel</t>
        </is>
      </c>
      <c r="D73" s="5" t="inlineStr">
        <is>
          <t>Caja x100</t>
        </is>
      </c>
      <c r="E73" s="6" t="n">
        <v>2</v>
      </c>
      <c r="F73" s="4" t="inlineStr">
        <is>
          <t>Caja</t>
        </is>
      </c>
      <c r="G73" s="7" t="n">
        <v>5000</v>
      </c>
      <c r="H73" s="8">
        <f>IF(OR(E73="",G73=""),"",E73*G73)</f>
        <v/>
      </c>
      <c r="I73" s="4" t="inlineStr">
        <is>
          <t>Obligatorio</t>
        </is>
      </c>
      <c r="J73" s="4" t="inlineStr">
        <is>
          <t>Dr. Sergio Durán</t>
        </is>
      </c>
      <c r="K73" s="5" t="inlineStr"/>
    </row>
    <row r="74">
      <c r="A74" s="4" t="n">
        <v>70</v>
      </c>
      <c r="B74" s="4" t="inlineStr">
        <is>
          <t>Papelería y oficina</t>
        </is>
      </c>
      <c r="C74" s="5" t="inlineStr">
        <is>
          <t>Sacaganchos</t>
        </is>
      </c>
      <c r="D74" s="5" t="inlineStr">
        <is>
          <t>Metálico</t>
        </is>
      </c>
      <c r="E74" s="6" t="n">
        <v>1</v>
      </c>
      <c r="F74" s="4" t="inlineStr">
        <is>
          <t>Unidad</t>
        </is>
      </c>
      <c r="G74" s="7" t="n">
        <v>5000</v>
      </c>
      <c r="H74" s="8">
        <f>IF(OR(E74="",G74=""),"",E74*G74)</f>
        <v/>
      </c>
      <c r="I74" s="4" t="inlineStr">
        <is>
          <t>Obligatorio</t>
        </is>
      </c>
      <c r="J74" s="4" t="inlineStr">
        <is>
          <t>Dr. Sergio Durán</t>
        </is>
      </c>
      <c r="K74" s="5" t="inlineStr"/>
    </row>
    <row r="75">
      <c r="A75" s="4" t="n">
        <v>71</v>
      </c>
      <c r="B75" s="4" t="inlineStr">
        <is>
          <t>Papelería y oficina</t>
        </is>
      </c>
      <c r="C75" s="5" t="inlineStr">
        <is>
          <t>Perforadora</t>
        </is>
      </c>
      <c r="D75" s="5" t="inlineStr">
        <is>
          <t>2 huecos</t>
        </is>
      </c>
      <c r="E75" s="6" t="n">
        <v>1</v>
      </c>
      <c r="F75" s="4" t="inlineStr">
        <is>
          <t>Unidad</t>
        </is>
      </c>
      <c r="G75" s="7" t="n">
        <v>25000</v>
      </c>
      <c r="H75" s="8">
        <f>IF(OR(E75="",G75=""),"",E75*G75)</f>
        <v/>
      </c>
      <c r="I75" s="4" t="inlineStr">
        <is>
          <t>Obligatorio</t>
        </is>
      </c>
      <c r="J75" s="4" t="inlineStr">
        <is>
          <t>Dr. Sergio Durán</t>
        </is>
      </c>
      <c r="K75" s="5" t="inlineStr"/>
    </row>
    <row r="76">
      <c r="A76" s="4" t="n">
        <v>72</v>
      </c>
      <c r="B76" s="4" t="inlineStr">
        <is>
          <t>Papelería y oficina</t>
        </is>
      </c>
      <c r="C76" s="5" t="inlineStr">
        <is>
          <t>Resma de papel tamaño carta</t>
        </is>
      </c>
      <c r="D76" s="5" t="inlineStr">
        <is>
          <t>500 hojas, 75 g</t>
        </is>
      </c>
      <c r="E76" s="6" t="n">
        <v>5</v>
      </c>
      <c r="F76" s="4" t="inlineStr">
        <is>
          <t>Resma</t>
        </is>
      </c>
      <c r="G76" s="7" t="n">
        <v>25000</v>
      </c>
      <c r="H76" s="8">
        <f>IF(OR(E76="",G76=""),"",E76*G76)</f>
        <v/>
      </c>
      <c r="I76" s="4" t="inlineStr">
        <is>
          <t>Obligatorio</t>
        </is>
      </c>
      <c r="J76" s="4" t="inlineStr">
        <is>
          <t>Dr. Sergio Durán</t>
        </is>
      </c>
      <c r="K76" s="5" t="inlineStr"/>
    </row>
    <row r="77">
      <c r="A77" s="4" t="n">
        <v>73</v>
      </c>
      <c r="B77" s="4" t="inlineStr">
        <is>
          <t>Papelería y oficina</t>
        </is>
      </c>
      <c r="C77" s="5" t="inlineStr">
        <is>
          <t>Mostrador de sobres y carpetas</t>
        </is>
      </c>
      <c r="D77" s="5" t="inlineStr">
        <is>
          <t>Organizador de escritorio / revistero</t>
        </is>
      </c>
      <c r="E77" s="6" t="n">
        <v>1</v>
      </c>
      <c r="F77" s="4" t="inlineStr">
        <is>
          <t>Unidad</t>
        </is>
      </c>
      <c r="G77" s="7" t="n">
        <v>60000</v>
      </c>
      <c r="H77" s="8">
        <f>IF(OR(E77="",G77=""),"",E77*G77)</f>
        <v/>
      </c>
      <c r="I77" s="4" t="inlineStr">
        <is>
          <t>Recomendado</t>
        </is>
      </c>
      <c r="J77" s="4" t="inlineStr">
        <is>
          <t>Dr. Sergio Durán</t>
        </is>
      </c>
      <c r="K77" s="5" t="inlineStr"/>
    </row>
    <row r="78">
      <c r="A78" s="4" t="n">
        <v>74</v>
      </c>
      <c r="B78" s="4" t="inlineStr">
        <is>
          <t>Papelería y oficina</t>
        </is>
      </c>
      <c r="C78" s="5" t="inlineStr">
        <is>
          <t>Formatos de informes</t>
        </is>
      </c>
      <c r="D78" s="5" t="inlineStr">
        <is>
          <t>Impresión de formatos (lote)</t>
        </is>
      </c>
      <c r="E78" s="6" t="n">
        <v>1</v>
      </c>
      <c r="F78" s="4" t="inlineStr">
        <is>
          <t>Lote</t>
        </is>
      </c>
      <c r="G78" s="7" t="n">
        <v>80000</v>
      </c>
      <c r="H78" s="8">
        <f>IF(OR(E78="",G78=""),"",E78*G78)</f>
        <v/>
      </c>
      <c r="I78" s="4" t="inlineStr">
        <is>
          <t>Obligatorio</t>
        </is>
      </c>
      <c r="J78" s="4" t="inlineStr">
        <is>
          <t>Dr. Sergio Durán</t>
        </is>
      </c>
      <c r="K78" s="5" t="inlineStr">
        <is>
          <t>Depende de cantidad y tipo de formato</t>
        </is>
      </c>
    </row>
    <row r="79">
      <c r="A79" s="4" t="n">
        <v>75</v>
      </c>
      <c r="B79" s="4" t="inlineStr">
        <is>
          <t>Papelería y oficina</t>
        </is>
      </c>
      <c r="C79" s="5" t="inlineStr">
        <is>
          <t>Tinta para sello y almohadilla</t>
        </is>
      </c>
      <c r="D79" s="5" t="inlineStr">
        <is>
          <t>Almohadilla + frasco de tinta</t>
        </is>
      </c>
      <c r="E79" s="6" t="n">
        <v>1</v>
      </c>
      <c r="F79" s="4" t="inlineStr">
        <is>
          <t>Juego</t>
        </is>
      </c>
      <c r="G79" s="7" t="n">
        <v>20000</v>
      </c>
      <c r="H79" s="8">
        <f>IF(OR(E79="",G79=""),"",E79*G79)</f>
        <v/>
      </c>
      <c r="I79" s="4" t="inlineStr">
        <is>
          <t>Recomendado</t>
        </is>
      </c>
      <c r="J79" s="4" t="inlineStr">
        <is>
          <t>Dr. Sergio Durán</t>
        </is>
      </c>
      <c r="K79" s="5" t="inlineStr"/>
    </row>
    <row r="80">
      <c r="A80" s="4" t="n">
        <v>76</v>
      </c>
      <c r="B80" s="4" t="inlineStr">
        <is>
          <t>Papelería y oficina</t>
        </is>
      </c>
      <c r="C80" s="5" t="inlineStr">
        <is>
          <t>Tijeras de oficina</t>
        </is>
      </c>
      <c r="D80" s="5" t="inlineStr">
        <is>
          <t>Punta roma</t>
        </is>
      </c>
      <c r="E80" s="6" t="n">
        <v>1</v>
      </c>
      <c r="F80" s="4" t="inlineStr">
        <is>
          <t>Unidad</t>
        </is>
      </c>
      <c r="G80" s="7" t="n">
        <v>8000</v>
      </c>
      <c r="H80" s="8">
        <f>IF(OR(E80="",G80=""),"",E80*G80)</f>
        <v/>
      </c>
      <c r="I80" s="4" t="inlineStr">
        <is>
          <t>Obligatorio</t>
        </is>
      </c>
      <c r="J80" s="4" t="inlineStr">
        <is>
          <t>Dr. Sergio Durán</t>
        </is>
      </c>
      <c r="K80" s="5" t="inlineStr"/>
    </row>
    <row r="81">
      <c r="A81" s="4" t="n">
        <v>77</v>
      </c>
      <c r="B81" s="4" t="inlineStr">
        <is>
          <t>Papelería y oficina</t>
        </is>
      </c>
      <c r="C81" s="5" t="inlineStr">
        <is>
          <t>Cinta adhesiva</t>
        </is>
      </c>
      <c r="D81" s="5" t="inlineStr">
        <is>
          <t>Rollo transparente</t>
        </is>
      </c>
      <c r="E81" s="6" t="n">
        <v>3</v>
      </c>
      <c r="F81" s="4" t="inlineStr">
        <is>
          <t>Rollo</t>
        </is>
      </c>
      <c r="G81" s="7" t="n">
        <v>4000</v>
      </c>
      <c r="H81" s="8">
        <f>IF(OR(E81="",G81=""),"",E81*G81)</f>
        <v/>
      </c>
      <c r="I81" s="4" t="inlineStr">
        <is>
          <t>Obligatorio</t>
        </is>
      </c>
      <c r="J81" s="4" t="inlineStr">
        <is>
          <t>Dr. Sergio Durán</t>
        </is>
      </c>
      <c r="K81" s="5" t="inlineStr"/>
    </row>
    <row r="82">
      <c r="A82" s="4" t="n">
        <v>78</v>
      </c>
      <c r="B82" s="4" t="inlineStr">
        <is>
          <t>Papelería y oficina</t>
        </is>
      </c>
      <c r="C82" s="5" t="inlineStr">
        <is>
          <t>Pegamento</t>
        </is>
      </c>
      <c r="D82" s="5" t="inlineStr">
        <is>
          <t>Barra 40 g</t>
        </is>
      </c>
      <c r="E82" s="6" t="n">
        <v>2</v>
      </c>
      <c r="F82" s="4" t="inlineStr">
        <is>
          <t>Unidad</t>
        </is>
      </c>
      <c r="G82" s="7" t="n">
        <v>5000</v>
      </c>
      <c r="H82" s="8">
        <f>IF(OR(E82="",G82=""),"",E82*G82)</f>
        <v/>
      </c>
      <c r="I82" s="4" t="inlineStr">
        <is>
          <t>Obligatorio</t>
        </is>
      </c>
      <c r="J82" s="4" t="inlineStr">
        <is>
          <t>Dr. Sergio Durán</t>
        </is>
      </c>
      <c r="K82" s="5" t="inlineStr"/>
    </row>
    <row r="83">
      <c r="A83" s="4" t="n">
        <v>79</v>
      </c>
      <c r="B83" s="4" t="inlineStr">
        <is>
          <t>Papelería y oficina</t>
        </is>
      </c>
      <c r="C83" s="5" t="inlineStr">
        <is>
          <t>Calculadora</t>
        </is>
      </c>
      <c r="D83" s="5" t="inlineStr">
        <is>
          <t>De escritorio, 12 dígitos</t>
        </is>
      </c>
      <c r="E83" s="6" t="n">
        <v>1</v>
      </c>
      <c r="F83" s="4" t="inlineStr">
        <is>
          <t>Unidad</t>
        </is>
      </c>
      <c r="G83" s="7" t="n">
        <v>40000</v>
      </c>
      <c r="H83" s="8">
        <f>IF(OR(E83="",G83=""),"",E83*G83)</f>
        <v/>
      </c>
      <c r="I83" s="4" t="inlineStr">
        <is>
          <t>Recomendado</t>
        </is>
      </c>
      <c r="J83" s="4" t="inlineStr">
        <is>
          <t>Dr. Sergio Durán</t>
        </is>
      </c>
      <c r="K83" s="5" t="inlineStr"/>
    </row>
    <row r="84">
      <c r="A84" s="4" t="n">
        <v>80</v>
      </c>
      <c r="B84" s="4" t="inlineStr">
        <is>
          <t>Papelería y oficina</t>
        </is>
      </c>
      <c r="C84" s="5" t="inlineStr">
        <is>
          <t>Libretas</t>
        </is>
      </c>
      <c r="D84" s="5" t="inlineStr">
        <is>
          <t>Cuaderno / libreta de notas</t>
        </is>
      </c>
      <c r="E84" s="6" t="n">
        <v>5</v>
      </c>
      <c r="F84" s="4" t="inlineStr">
        <is>
          <t>Unidad</t>
        </is>
      </c>
      <c r="G84" s="7" t="n">
        <v>6000</v>
      </c>
      <c r="H84" s="8">
        <f>IF(OR(E84="",G84=""),"",E84*G84)</f>
        <v/>
      </c>
      <c r="I84" s="4" t="inlineStr">
        <is>
          <t>Obligatorio</t>
        </is>
      </c>
      <c r="J84" s="4" t="inlineStr">
        <is>
          <t>Dr. Sergio Durán</t>
        </is>
      </c>
      <c r="K84" s="5" t="inlineStr"/>
    </row>
    <row r="85">
      <c r="A85" s="4" t="n">
        <v>81</v>
      </c>
      <c r="B85" s="4" t="inlineStr">
        <is>
          <t>Papelería y oficina</t>
        </is>
      </c>
      <c r="C85" s="5" t="inlineStr">
        <is>
          <t>Repuestos (bolígrafos, etc.)</t>
        </is>
      </c>
      <c r="D85" s="5" t="inlineStr">
        <is>
          <t>Minas, grapas, cartuchos varios</t>
        </is>
      </c>
      <c r="E85" s="6" t="n">
        <v>1</v>
      </c>
      <c r="F85" s="4" t="inlineStr">
        <is>
          <t>Lote</t>
        </is>
      </c>
      <c r="G85" s="7" t="n">
        <v>20000</v>
      </c>
      <c r="H85" s="8">
        <f>IF(OR(E85="",G85=""),"",E85*G85)</f>
        <v/>
      </c>
      <c r="I85" s="4" t="inlineStr">
        <is>
          <t>Recomendado</t>
        </is>
      </c>
      <c r="J85" s="4" t="inlineStr">
        <is>
          <t>Dr. Sergio Durán</t>
        </is>
      </c>
      <c r="K85" s="5" t="inlineStr"/>
    </row>
    <row r="86">
      <c r="A86" s="4" t="n">
        <v>82</v>
      </c>
      <c r="B86" s="4" t="inlineStr">
        <is>
          <t>Aseo y baño</t>
        </is>
      </c>
      <c r="C86" s="5" t="inlineStr">
        <is>
          <t>Papel higiénico</t>
        </is>
      </c>
      <c r="D86" s="5" t="inlineStr">
        <is>
          <t>Paquete x12 rollos institucional</t>
        </is>
      </c>
      <c r="E86" s="6" t="n">
        <v>2</v>
      </c>
      <c r="F86" s="4" t="inlineStr">
        <is>
          <t>Paquete</t>
        </is>
      </c>
      <c r="G86" s="7" t="n">
        <v>40000</v>
      </c>
      <c r="H86" s="8">
        <f>IF(OR(E86="",G86=""),"",E86*G86)</f>
        <v/>
      </c>
      <c r="I86" s="4" t="inlineStr">
        <is>
          <t>Obligatorio</t>
        </is>
      </c>
      <c r="J86" s="4" t="inlineStr">
        <is>
          <t>Dr. Sergio Durán</t>
        </is>
      </c>
      <c r="K86" s="5" t="inlineStr"/>
    </row>
    <row r="87">
      <c r="A87" s="4" t="n">
        <v>83</v>
      </c>
      <c r="B87" s="4" t="inlineStr">
        <is>
          <t>Aseo y baño</t>
        </is>
      </c>
      <c r="C87" s="5" t="inlineStr">
        <is>
          <t>Jabón de manos</t>
        </is>
      </c>
      <c r="D87" s="5" t="inlineStr">
        <is>
          <t>Líquido antibacterial, galón</t>
        </is>
      </c>
      <c r="E87" s="6" t="n">
        <v>2</v>
      </c>
      <c r="F87" s="4" t="inlineStr">
        <is>
          <t>Galón</t>
        </is>
      </c>
      <c r="G87" s="7" t="n">
        <v>35000</v>
      </c>
      <c r="H87" s="8">
        <f>IF(OR(E87="",G87=""),"",E87*G87)</f>
        <v/>
      </c>
      <c r="I87" s="4" t="inlineStr">
        <is>
          <t>Obligatorio</t>
        </is>
      </c>
      <c r="J87" s="4" t="inlineStr">
        <is>
          <t>Dr. Sergio Durán</t>
        </is>
      </c>
      <c r="K87" s="5" t="inlineStr"/>
    </row>
    <row r="88">
      <c r="A88" s="4" t="n">
        <v>84</v>
      </c>
      <c r="B88" s="4" t="inlineStr">
        <is>
          <t>Aseo y baño</t>
        </is>
      </c>
      <c r="C88" s="5" t="inlineStr">
        <is>
          <t>Toallas de papel</t>
        </is>
      </c>
      <c r="D88" s="5" t="inlineStr">
        <is>
          <t>Interfoliadas, paquete x150 (fardo)</t>
        </is>
      </c>
      <c r="E88" s="6" t="n">
        <v>2</v>
      </c>
      <c r="F88" s="4" t="inlineStr">
        <is>
          <t>Fardo</t>
        </is>
      </c>
      <c r="G88" s="7" t="n">
        <v>60000</v>
      </c>
      <c r="H88" s="8">
        <f>IF(OR(E88="",G88=""),"",E88*G88)</f>
        <v/>
      </c>
      <c r="I88" s="4" t="inlineStr">
        <is>
          <t>Obligatorio</t>
        </is>
      </c>
      <c r="J88" s="4" t="inlineStr">
        <is>
          <t>Dr. Sergio Durán</t>
        </is>
      </c>
      <c r="K88" s="5" t="inlineStr">
        <is>
          <t>Se prefieren de papel sobre tela por bioseguridad</t>
        </is>
      </c>
    </row>
    <row r="89">
      <c r="A89" s="4" t="n">
        <v>85</v>
      </c>
      <c r="B89" s="4" t="inlineStr">
        <is>
          <t>Aseo y baño</t>
        </is>
      </c>
      <c r="C89" s="5" t="inlineStr">
        <is>
          <t>Ambientador</t>
        </is>
      </c>
      <c r="D89" s="5" t="inlineStr">
        <is>
          <t>Aerosol</t>
        </is>
      </c>
      <c r="E89" s="6" t="n">
        <v>2</v>
      </c>
      <c r="F89" s="4" t="inlineStr">
        <is>
          <t>Unidad</t>
        </is>
      </c>
      <c r="G89" s="7" t="n">
        <v>15000</v>
      </c>
      <c r="H89" s="8">
        <f>IF(OR(E89="",G89=""),"",E89*G89)</f>
        <v/>
      </c>
      <c r="I89" s="4" t="inlineStr">
        <is>
          <t>Recomendado</t>
        </is>
      </c>
      <c r="J89" s="4" t="inlineStr">
        <is>
          <t>Dr. Sergio Durán</t>
        </is>
      </c>
      <c r="K89" s="5" t="inlineStr"/>
    </row>
    <row r="90">
      <c r="A90" s="4" t="n">
        <v>86</v>
      </c>
      <c r="B90" s="4" t="inlineStr">
        <is>
          <t>Botiquín de primeros auxilios</t>
        </is>
      </c>
      <c r="C90" s="5" t="inlineStr">
        <is>
          <t>Botiquín</t>
        </is>
      </c>
      <c r="D90" s="5" t="inlineStr">
        <is>
          <t>Gabinete o maletín con compartimentos</t>
        </is>
      </c>
      <c r="E90" s="6" t="n">
        <v>1</v>
      </c>
      <c r="F90" s="4" t="inlineStr">
        <is>
          <t>Unidad</t>
        </is>
      </c>
      <c r="G90" s="7" t="n">
        <v>60000</v>
      </c>
      <c r="H90" s="8">
        <f>IF(OR(E90="",G90=""),"",E90*G90)</f>
        <v/>
      </c>
      <c r="I90" s="4" t="inlineStr">
        <is>
          <t>Obligatorio</t>
        </is>
      </c>
      <c r="J90" s="4" t="inlineStr">
        <is>
          <t>Dr. Sergio Durán</t>
        </is>
      </c>
      <c r="K90" s="5" t="inlineStr"/>
    </row>
    <row r="91">
      <c r="A91" s="4" t="n">
        <v>87</v>
      </c>
      <c r="B91" s="4" t="inlineStr">
        <is>
          <t>Botiquín de primeros auxilios</t>
        </is>
      </c>
      <c r="C91" s="5" t="inlineStr">
        <is>
          <t>Curitas</t>
        </is>
      </c>
      <c r="D91" s="5" t="inlineStr">
        <is>
          <t>Caja x100</t>
        </is>
      </c>
      <c r="E91" s="6" t="n">
        <v>1</v>
      </c>
      <c r="F91" s="4" t="inlineStr">
        <is>
          <t>Caja</t>
        </is>
      </c>
      <c r="G91" s="7" t="n">
        <v>15000</v>
      </c>
      <c r="H91" s="8">
        <f>IF(OR(E91="",G91=""),"",E91*G91)</f>
        <v/>
      </c>
      <c r="I91" s="4" t="inlineStr">
        <is>
          <t>Obligatorio</t>
        </is>
      </c>
      <c r="J91" s="4" t="inlineStr">
        <is>
          <t>Dr. Sergio Durán</t>
        </is>
      </c>
      <c r="K91" s="5" t="inlineStr">
        <is>
          <t>Gasas, algodón, guantes, termómetro y alcohol ya están en la lista</t>
        </is>
      </c>
    </row>
    <row r="92">
      <c r="A92" s="4" t="n">
        <v>88</v>
      </c>
      <c r="B92" s="4" t="inlineStr">
        <is>
          <t>Botiquín de primeros auxilios</t>
        </is>
      </c>
      <c r="C92" s="5" t="inlineStr">
        <is>
          <t>Medicamentos básicos</t>
        </is>
      </c>
      <c r="D92" s="5" t="inlineStr">
        <is>
          <t>Acetaminofén, loratadina, sales de rehidratación, antiácido</t>
        </is>
      </c>
      <c r="E92" s="6" t="n">
        <v>1</v>
      </c>
      <c r="F92" s="4" t="inlineStr">
        <is>
          <t>Lote</t>
        </is>
      </c>
      <c r="G92" s="7" t="n">
        <v>100000</v>
      </c>
      <c r="H92" s="8">
        <f>IF(OR(E92="",G92=""),"",E92*G92)</f>
        <v/>
      </c>
      <c r="I92" s="4" t="inlineStr">
        <is>
          <t>Recomendado</t>
        </is>
      </c>
      <c r="J92" s="4" t="inlineStr">
        <is>
          <t>Dr. Sergio Durán</t>
        </is>
      </c>
      <c r="K92" s="5" t="inlineStr">
        <is>
          <t>Definir listado con el Dr. Durán</t>
        </is>
      </c>
    </row>
    <row r="93">
      <c r="A93" s="4" t="n">
        <v>89</v>
      </c>
      <c r="B93" s="4" t="inlineStr">
        <is>
          <t>Botiquín de primeros auxilios</t>
        </is>
      </c>
      <c r="C93" s="5" t="inlineStr">
        <is>
          <t>Ibuprofeno 400 mg</t>
        </is>
      </c>
      <c r="D93" s="5" t="inlineStr">
        <is>
          <t>Caja x50 tabletas</t>
        </is>
      </c>
      <c r="E93" s="6" t="n">
        <v>2</v>
      </c>
      <c r="F93" s="4" t="inlineStr">
        <is>
          <t>Caja</t>
        </is>
      </c>
      <c r="G93" s="7" t="n">
        <v>15000</v>
      </c>
      <c r="H93" s="8">
        <f>IF(OR(E93="",G93=""),"",E93*G93)</f>
        <v/>
      </c>
      <c r="I93" s="4" t="inlineStr">
        <is>
          <t>Recomendado</t>
        </is>
      </c>
      <c r="J93" s="4" t="inlineStr">
        <is>
          <t>Dr. Sergio Durán</t>
        </is>
      </c>
      <c r="K93" s="5" t="inlineStr"/>
    </row>
    <row r="94">
      <c r="A94" s="9" t="inlineStr">
        <is>
          <t>Filas libres para ítems adicionales</t>
        </is>
      </c>
    </row>
    <row r="95">
      <c r="A95" s="4" t="n">
        <v>90</v>
      </c>
      <c r="B95" s="10" t="inlineStr"/>
      <c r="C95" s="11" t="inlineStr"/>
      <c r="D95" s="11" t="inlineStr"/>
      <c r="E95" s="10" t="n"/>
      <c r="F95" s="10" t="inlineStr"/>
      <c r="G95" s="12" t="n"/>
      <c r="H95" s="8">
        <f>IF(OR(E95="",G95=""),"",E95*G95)</f>
        <v/>
      </c>
      <c r="I95" s="10" t="inlineStr"/>
      <c r="J95" s="4" t="inlineStr"/>
      <c r="K95" s="11" t="inlineStr"/>
    </row>
    <row r="96">
      <c r="A96" s="4" t="n">
        <v>91</v>
      </c>
      <c r="B96" s="10" t="inlineStr"/>
      <c r="C96" s="11" t="inlineStr"/>
      <c r="D96" s="11" t="inlineStr"/>
      <c r="E96" s="10" t="n"/>
      <c r="F96" s="10" t="inlineStr"/>
      <c r="G96" s="12" t="n"/>
      <c r="H96" s="8">
        <f>IF(OR(E96="",G96=""),"",E96*G96)</f>
        <v/>
      </c>
      <c r="I96" s="10" t="inlineStr"/>
      <c r="J96" s="4" t="inlineStr"/>
      <c r="K96" s="11" t="inlineStr"/>
    </row>
    <row r="97">
      <c r="A97" s="4" t="n">
        <v>92</v>
      </c>
      <c r="B97" s="10" t="inlineStr"/>
      <c r="C97" s="11" t="inlineStr"/>
      <c r="D97" s="11" t="inlineStr"/>
      <c r="E97" s="10" t="n"/>
      <c r="F97" s="10" t="inlineStr"/>
      <c r="G97" s="12" t="n"/>
      <c r="H97" s="8">
        <f>IF(OR(E97="",G97=""),"",E97*G97)</f>
        <v/>
      </c>
      <c r="I97" s="10" t="inlineStr"/>
      <c r="J97" s="4" t="inlineStr"/>
      <c r="K97" s="11" t="inlineStr"/>
    </row>
    <row r="98">
      <c r="A98" s="4" t="n">
        <v>93</v>
      </c>
      <c r="B98" s="10" t="inlineStr"/>
      <c r="C98" s="11" t="inlineStr"/>
      <c r="D98" s="11" t="inlineStr"/>
      <c r="E98" s="10" t="n"/>
      <c r="F98" s="10" t="inlineStr"/>
      <c r="G98" s="12" t="n"/>
      <c r="H98" s="8">
        <f>IF(OR(E98="",G98=""),"",E98*G98)</f>
        <v/>
      </c>
      <c r="I98" s="10" t="inlineStr"/>
      <c r="J98" s="4" t="inlineStr"/>
      <c r="K98" s="11" t="inlineStr"/>
    </row>
    <row r="99">
      <c r="A99" s="4" t="n">
        <v>94</v>
      </c>
      <c r="B99" s="10" t="inlineStr"/>
      <c r="C99" s="11" t="inlineStr"/>
      <c r="D99" s="11" t="inlineStr"/>
      <c r="E99" s="10" t="n"/>
      <c r="F99" s="10" t="inlineStr"/>
      <c r="G99" s="12" t="n"/>
      <c r="H99" s="8">
        <f>IF(OR(E99="",G99=""),"",E99*G99)</f>
        <v/>
      </c>
      <c r="I99" s="10" t="inlineStr"/>
      <c r="J99" s="4" t="inlineStr"/>
      <c r="K99" s="11" t="inlineStr"/>
    </row>
    <row r="100">
      <c r="A100" s="4" t="n">
        <v>95</v>
      </c>
      <c r="B100" s="10" t="inlineStr"/>
      <c r="C100" s="11" t="inlineStr"/>
      <c r="D100" s="11" t="inlineStr"/>
      <c r="E100" s="10" t="n"/>
      <c r="F100" s="10" t="inlineStr"/>
      <c r="G100" s="12" t="n"/>
      <c r="H100" s="8">
        <f>IF(OR(E100="",G100=""),"",E100*G100)</f>
        <v/>
      </c>
      <c r="I100" s="10" t="inlineStr"/>
      <c r="J100" s="4" t="inlineStr"/>
      <c r="K100" s="11" t="inlineStr"/>
    </row>
    <row r="101">
      <c r="A101" s="4" t="n">
        <v>96</v>
      </c>
      <c r="B101" s="10" t="inlineStr"/>
      <c r="C101" s="11" t="inlineStr"/>
      <c r="D101" s="11" t="inlineStr"/>
      <c r="E101" s="10" t="n"/>
      <c r="F101" s="10" t="inlineStr"/>
      <c r="G101" s="12" t="n"/>
      <c r="H101" s="8">
        <f>IF(OR(E101="",G101=""),"",E101*G101)</f>
        <v/>
      </c>
      <c r="I101" s="10" t="inlineStr"/>
      <c r="J101" s="4" t="inlineStr"/>
      <c r="K101" s="11" t="inlineStr"/>
    </row>
    <row r="102">
      <c r="A102" s="4" t="n">
        <v>97</v>
      </c>
      <c r="B102" s="10" t="inlineStr"/>
      <c r="C102" s="11" t="inlineStr"/>
      <c r="D102" s="11" t="inlineStr"/>
      <c r="E102" s="10" t="n"/>
      <c r="F102" s="10" t="inlineStr"/>
      <c r="G102" s="12" t="n"/>
      <c r="H102" s="8">
        <f>IF(OR(E102="",G102=""),"",E102*G102)</f>
        <v/>
      </c>
      <c r="I102" s="10" t="inlineStr"/>
      <c r="J102" s="4" t="inlineStr"/>
      <c r="K102" s="11" t="inlineStr"/>
    </row>
    <row r="103">
      <c r="A103" s="4" t="n">
        <v>98</v>
      </c>
      <c r="B103" s="10" t="inlineStr"/>
      <c r="C103" s="11" t="inlineStr"/>
      <c r="D103" s="11" t="inlineStr"/>
      <c r="E103" s="10" t="n"/>
      <c r="F103" s="10" t="inlineStr"/>
      <c r="G103" s="12" t="n"/>
      <c r="H103" s="8">
        <f>IF(OR(E103="",G103=""),"",E103*G103)</f>
        <v/>
      </c>
      <c r="I103" s="10" t="inlineStr"/>
      <c r="J103" s="4" t="inlineStr"/>
      <c r="K103" s="11" t="inlineStr"/>
    </row>
    <row r="104">
      <c r="A104" s="4" t="n">
        <v>99</v>
      </c>
      <c r="B104" s="10" t="inlineStr"/>
      <c r="C104" s="11" t="inlineStr"/>
      <c r="D104" s="11" t="inlineStr"/>
      <c r="E104" s="10" t="n"/>
      <c r="F104" s="10" t="inlineStr"/>
      <c r="G104" s="12" t="n"/>
      <c r="H104" s="8">
        <f>IF(OR(E104="",G104=""),"",E104*G104)</f>
        <v/>
      </c>
      <c r="I104" s="10" t="inlineStr"/>
      <c r="J104" s="4" t="inlineStr"/>
      <c r="K104" s="11" t="inlineStr"/>
    </row>
    <row r="105">
      <c r="G105" s="13" t="inlineStr">
        <is>
          <t>TOTAL APROX.</t>
        </is>
      </c>
      <c r="H105" s="14">
        <f>SUM(H5:H104)</f>
        <v/>
      </c>
    </row>
  </sheetData>
  <autoFilter ref="A4:K104"/>
  <mergeCells count="1">
    <mergeCell ref="A94:K94"/>
  </mergeCells>
  <dataValidations count="1">
    <dataValidation sqref="I5:I104" showDropDown="0" showInputMessage="0" showErrorMessage="0" allowBlank="1" type="list">
      <formula1>"Obligatorio,Recomendado,Opcional"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Resumen de la cotización</t>
        </is>
      </c>
    </row>
    <row r="3">
      <c r="A3" s="15" t="inlineStr">
        <is>
          <t>Por categoría</t>
        </is>
      </c>
      <c r="B3" s="15" t="inlineStr">
        <is>
          <t>Valor aprox. (COP)</t>
        </is>
      </c>
    </row>
    <row r="4">
      <c r="A4" s="16" t="inlineStr">
        <is>
          <t>Equipos biomédicos</t>
        </is>
      </c>
      <c r="B4" s="17">
        <f>SUMIFS('Lista Unificada'!$H$5:$H$104,'Lista Unificada'!$B$5:$B$104,A4)</f>
        <v/>
      </c>
    </row>
    <row r="5">
      <c r="A5" s="16" t="inlineStr">
        <is>
          <t>Mobiliario clínico</t>
        </is>
      </c>
      <c r="B5" s="17">
        <f>SUMIFS('Lista Unificada'!$H$5:$H$104,'Lista Unificada'!$B$5:$B$104,A5)</f>
        <v/>
      </c>
    </row>
    <row r="6">
      <c r="A6" s="16" t="inlineStr">
        <is>
          <t>Mobiliario de oficina</t>
        </is>
      </c>
      <c r="B6" s="17">
        <f>SUMIFS('Lista Unificada'!$H$5:$H$104,'Lista Unificada'!$B$5:$B$104,A6)</f>
        <v/>
      </c>
    </row>
    <row r="7">
      <c r="A7" s="16" t="inlineStr">
        <is>
          <t>Tecnología</t>
        </is>
      </c>
      <c r="B7" s="17">
        <f>SUMIFS('Lista Unificada'!$H$5:$H$104,'Lista Unificada'!$B$5:$B$104,A7)</f>
        <v/>
      </c>
    </row>
    <row r="8">
      <c r="A8" s="16" t="inlineStr">
        <is>
          <t>Instrumental</t>
        </is>
      </c>
      <c r="B8" s="17">
        <f>SUMIFS('Lista Unificada'!$H$5:$H$104,'Lista Unificada'!$B$5:$B$104,A8)</f>
        <v/>
      </c>
    </row>
    <row r="9">
      <c r="A9" s="16" t="inlineStr">
        <is>
          <t>Emergencias</t>
        </is>
      </c>
      <c r="B9" s="17">
        <f>SUMIFS('Lista Unificada'!$H$5:$H$104,'Lista Unificada'!$B$5:$B$104,A9)</f>
        <v/>
      </c>
    </row>
    <row r="10">
      <c r="A10" s="16" t="inlineStr">
        <is>
          <t>Bioseguridad y residuos</t>
        </is>
      </c>
      <c r="B10" s="17">
        <f>SUMIFS('Lista Unificada'!$H$5:$H$104,'Lista Unificada'!$B$5:$B$104,A10)</f>
        <v/>
      </c>
    </row>
    <row r="11">
      <c r="A11" s="16" t="inlineStr">
        <is>
          <t>Consumibles</t>
        </is>
      </c>
      <c r="B11" s="17">
        <f>SUMIFS('Lista Unificada'!$H$5:$H$104,'Lista Unificada'!$B$5:$B$104,A11)</f>
        <v/>
      </c>
    </row>
    <row r="12">
      <c r="A12" s="16" t="inlineStr">
        <is>
          <t>Atención de pacientes</t>
        </is>
      </c>
      <c r="B12" s="17">
        <f>SUMIFS('Lista Unificada'!$H$5:$H$104,'Lista Unificada'!$B$5:$B$104,A12)</f>
        <v/>
      </c>
    </row>
    <row r="13">
      <c r="A13" s="16" t="inlineStr">
        <is>
          <t>Papelería y oficina</t>
        </is>
      </c>
      <c r="B13" s="17">
        <f>SUMIFS('Lista Unificada'!$H$5:$H$104,'Lista Unificada'!$B$5:$B$104,A13)</f>
        <v/>
      </c>
    </row>
    <row r="14">
      <c r="A14" s="16" t="inlineStr">
        <is>
          <t>Aseo y baño</t>
        </is>
      </c>
      <c r="B14" s="17">
        <f>SUMIFS('Lista Unificada'!$H$5:$H$104,'Lista Unificada'!$B$5:$B$104,A14)</f>
        <v/>
      </c>
    </row>
    <row r="15">
      <c r="A15" s="16" t="inlineStr">
        <is>
          <t>Botiquín de primeros auxilios</t>
        </is>
      </c>
      <c r="B15" s="17">
        <f>SUMIFS('Lista Unificada'!$H$5:$H$104,'Lista Unificada'!$B$5:$B$104,A15)</f>
        <v/>
      </c>
    </row>
    <row r="16">
      <c r="A16" s="16" t="inlineStr">
        <is>
          <t>Otras categorías / sin clasificar</t>
        </is>
      </c>
      <c r="B16" s="17">
        <f>'Lista Unificada'!H105-SUM(B4:B15)</f>
        <v/>
      </c>
    </row>
    <row r="17">
      <c r="A17" s="18" t="inlineStr">
        <is>
          <t>TOTAL (1 consultorio)</t>
        </is>
      </c>
      <c r="B17" s="19">
        <f>'Lista Unificada'!H105</f>
        <v/>
      </c>
    </row>
    <row r="18">
      <c r="A18" s="20" t="inlineStr">
        <is>
          <t>Consultorios a dotar</t>
        </is>
      </c>
      <c r="B18" s="21" t="n">
        <v>1</v>
      </c>
    </row>
    <row r="19">
      <c r="A19" s="18" t="inlineStr">
        <is>
          <t>TOTAL GENERAL</t>
        </is>
      </c>
      <c r="B19" s="19">
        <f>B17*B18</f>
        <v/>
      </c>
    </row>
    <row r="21">
      <c r="A21" s="15" t="inlineStr">
        <is>
          <t>Por fuente</t>
        </is>
      </c>
      <c r="B21" s="15" t="inlineStr">
        <is>
          <t>Valor aprox. (COP)</t>
        </is>
      </c>
    </row>
    <row r="22">
      <c r="A22" s="16" t="inlineStr">
        <is>
          <t>Dotación básica</t>
        </is>
      </c>
      <c r="B22" s="17">
        <f>SUMIFS('Lista Unificada'!$H$5:$H$104,'Lista Unificada'!$J$5:$J$104,A22)</f>
        <v/>
      </c>
    </row>
    <row r="23">
      <c r="A23" s="16" t="inlineStr">
        <is>
          <t>Dr. Sergio Durán</t>
        </is>
      </c>
      <c r="B23" s="17">
        <f>SUMIFS('Lista Unificada'!$H$5:$H$104,'Lista Unificada'!$J$5:$J$104,A23)</f>
        <v/>
      </c>
    </row>
    <row r="24">
      <c r="A24" s="16" t="inlineStr">
        <is>
          <t>Ambas</t>
        </is>
      </c>
      <c r="B24" s="17">
        <f>SUMIFS('Lista Unificada'!$H$5:$H$104,'Lista Unificada'!$J$5:$J$104,A24)</f>
        <v/>
      </c>
    </row>
    <row r="26">
      <c r="A26" s="15" t="inlineStr">
        <is>
          <t>Por prioridad</t>
        </is>
      </c>
      <c r="B26" s="15" t="inlineStr">
        <is>
          <t>Valor aprox. (COP)</t>
        </is>
      </c>
    </row>
    <row r="27">
      <c r="A27" s="16" t="inlineStr">
        <is>
          <t>Obligatorio</t>
        </is>
      </c>
      <c r="B27" s="17">
        <f>SUMIFS('Lista Unificada'!$H$5:$H$104,'Lista Unificada'!$I$5:$I$104,A27)</f>
        <v/>
      </c>
    </row>
    <row r="28">
      <c r="A28" s="16" t="inlineStr">
        <is>
          <t>Recomendado</t>
        </is>
      </c>
      <c r="B28" s="17">
        <f>SUMIFS('Lista Unificada'!$H$5:$H$104,'Lista Unificada'!$I$5:$I$104,A28)</f>
        <v/>
      </c>
    </row>
    <row r="29">
      <c r="A29" s="16" t="inlineStr">
        <is>
          <t>Opcional</t>
        </is>
      </c>
      <c r="B29" s="17">
        <f>SUMIFS('Lista Unificada'!$H$5:$H$104,'Lista Unificada'!$I$5:$I$104,A29)</f>
        <v/>
      </c>
    </row>
    <row r="31">
      <c r="A31" s="22" t="inlineStr">
        <is>
          <t>Notas y supuestos:</t>
        </is>
      </c>
    </row>
    <row r="32">
      <c r="A32" s="23" t="inlineStr">
        <is>
          <t>• Valores aproximados en COP (2026), referencia de distribuidores de dispositivos médicos en Colombia; variación esperada ±20-30%.</t>
        </is>
      </c>
    </row>
    <row r="33">
      <c r="A33" s="23" t="inlineStr">
        <is>
          <t>• Prioridad orientativa según requisitos típicos de habilitación de consulta externa de medicina general (Resolución 3100 de 2019); verificar con la Secretaría de Salud.</t>
        </is>
      </c>
    </row>
    <row r="34">
      <c r="A34" s="23" t="inlineStr">
        <is>
          <t>• Los equipos biomédicos requieren registro INVIMA, hoja de vida y plan de mantenimiento/calibración.</t>
        </is>
      </c>
    </row>
    <row r="35">
      <c r="A35" s="23" t="inlineStr">
        <is>
          <t>• Cantidades pensadas para 1 consultorio y dotación inicial de consumibles (~1 mes).</t>
        </is>
      </c>
    </row>
    <row r="36">
      <c r="A36" s="23" t="inlineStr">
        <is>
          <t>• Fuente 'Ambas' = ítem pedido por el Dr. Durán que ya estaba en la dotación básica (se unificó sin duplicar).</t>
        </is>
      </c>
    </row>
    <row r="37">
      <c r="A37" s="23" t="inlineStr">
        <is>
          <t>• Según el Dr. Durán, el consultorio 1104 necesita la misma dotación que el 1105-01. Ajuste 'Consultorios a dotar' arriba.</t>
        </is>
      </c>
    </row>
    <row r="38">
      <c r="A38" s="23" t="inlineStr">
        <is>
          <t>• Filas amarillas de 'Lista Unificada' = ítems adicionales; el total se actualiza solo.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2026-09-26T14:54:56Z</dcterms:created>
  <dcterms:modified xsi:type="dcterms:W3CDTF">2026-09-26T14:54:56Z</dcterms:modified>
</cp:coreProperties>
</file>